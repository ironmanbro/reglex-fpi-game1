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estions" sheetId="1" state="visible" r:id="rId3"/>
    <sheet name="How to use" sheetId="2" state="visible" r:id="rId4"/>
    <sheet name="Summary" sheetId="3" state="visible" r:id="rId5"/>
  </sheets>
  <definedNames>
    <definedName function="false" hidden="true" localSheetId="0" name="_xlnm._FilterDatabase" vbProcedure="false">Questions!$A$1:$AG$176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<sst xmlns="http://schemas.openxmlformats.org/spreadsheetml/2006/main" count="4728" uniqueCount="3439">
  <si>
    <t xml:space="preserve">ref</t>
  </si>
  <si>
    <t xml:space="preserve">status</t>
  </si>
  <si>
    <t xml:space="preserve">chapter</t>
  </si>
  <si>
    <t xml:space="preserve">difficulty</t>
  </si>
  <si>
    <t xml:space="preserve">title</t>
  </si>
  <si>
    <t xml:space="preserve">fact1_label</t>
  </si>
  <si>
    <t xml:space="preserve">fact1_value</t>
  </si>
  <si>
    <t xml:space="preserve">fact2_label</t>
  </si>
  <si>
    <t xml:space="preserve">fact2_value</t>
  </si>
  <si>
    <t xml:space="preserve">fact3_label</t>
  </si>
  <si>
    <t xml:space="preserve">fact3_value</t>
  </si>
  <si>
    <t xml:space="preserve">fact4_label</t>
  </si>
  <si>
    <t xml:space="preserve">fact4_value</t>
  </si>
  <si>
    <t xml:space="preserve">question</t>
  </si>
  <si>
    <t xml:space="preserve">option_A</t>
  </si>
  <si>
    <t xml:space="preserve">option_B</t>
  </si>
  <si>
    <t xml:space="preserve">option_C</t>
  </si>
  <si>
    <t xml:space="preserve">option_D</t>
  </si>
  <si>
    <t xml:space="preserve">answer</t>
  </si>
  <si>
    <t xml:space="preserve">explanation</t>
  </si>
  <si>
    <t xml:space="preserve">why_not_A</t>
  </si>
  <si>
    <t xml:space="preserve">why_not_B</t>
  </si>
  <si>
    <t xml:space="preserve">why_not_C</t>
  </si>
  <si>
    <t xml:space="preserve">why_not_D</t>
  </si>
  <si>
    <t xml:space="preserve">quote_1_source</t>
  </si>
  <si>
    <t xml:space="preserve">quote_1</t>
  </si>
  <si>
    <t xml:space="preserve">quote_2_source</t>
  </si>
  <si>
    <t xml:space="preserve">quote_2</t>
  </si>
  <si>
    <t xml:space="preserve">citation</t>
  </si>
  <si>
    <t xml:space="preserve">verify</t>
  </si>
  <si>
    <t xml:space="preserve">as_of</t>
  </si>
  <si>
    <t xml:space="preserve">reviewer_notes</t>
  </si>
  <si>
    <t xml:space="preserve">check</t>
  </si>
  <si>
    <t xml:space="preserve">ONB/ELG/101</t>
  </si>
  <si>
    <t xml:space="preserve">live</t>
  </si>
  <si>
    <t xml:space="preserve">II</t>
  </si>
  <si>
    <t xml:space="preserve">Home regulator outside IOSCO</t>
  </si>
  <si>
    <t xml:space="preserve">Applicant</t>
  </si>
  <si>
    <t xml:space="preserve">Halden Value Fund, a regulated fund</t>
  </si>
  <si>
    <t xml:space="preserve">Home regulator</t>
  </si>
  <si>
    <t xml:space="preserve">Not an IOSCO MMoU (Appendix A) signatory, and no bilateral MoU with SEBI</t>
  </si>
  <si>
    <t xml:space="preserve">Set up in</t>
  </si>
  <si>
    <t xml:space="preserve">Its home country, not an IFSC</t>
  </si>
  <si>
    <t xml:space="preserve">Requested</t>
  </si>
  <si>
    <t xml:space="preserve">Category II</t>
  </si>
  <si>
    <t xml:space="preserve">Can the DDP register it?</t>
  </si>
  <si>
    <t xml:space="preserve">Yes, as Category II</t>
  </si>
  <si>
    <t xml:space="preserve">No. It fails the home-regulator test in Reg 4(d)</t>
  </si>
  <si>
    <t xml:space="preserve">Yes, if its manager is from a FATF member country</t>
  </si>
  <si>
    <t xml:space="preserve">Yes, as Category I, because it is regulated</t>
  </si>
  <si>
    <t xml:space="preserve">B</t>
  </si>
  <si>
    <t xml:space="preserve">Reg 4(d) requires the applicant to be resident in a country whose securities regulator has signed the IOSCO MMoU (Appendix A) or has a bilateral MoU with SEBI. The two exceptions are a government investor from a country approved by the Government of India, and an applicant set up in an IFSC.</t>
  </si>
  <si>
    <t xml:space="preserve">Choosing a category doesn't cure eligibility. Reg 4 applies to every category, so Category II is still blocked.</t>
  </si>
  <si>
    <t xml:space="preserve">The FATF-manager test only helps an applicant get into Category I under Reg 5. It doesn't override Reg 4(d).</t>
  </si>
  <si>
    <t xml:space="preserve">Being regulated affects the category, but the applicant has to pass Reg 4(d) first.</t>
  </si>
  <si>
    <t xml:space="preserve">SEBI (FPI) Regulations, 2019, Regulation 4(d)</t>
  </si>
  <si>
    <t xml:space="preserve">(d) the applicant is a resident of the country whose securities market regulator is a signatory to the International Organization of Securities Commission's Multilateral Memorandum of Understanding (Appendix A Signatories) or a signatory to the bilateral Memorandum of Understanding with the Board: Provided that an applicant being Government or Government related investor shall be considered as eligible for registration, if such applicant is a resident in the country as may be approved by the Government of India;</t>
  </si>
  <si>
    <t xml:space="preserve">FPI Regs 2019, Reg 4(d) and proviso; Op. Guidelines Part A 2(i)</t>
  </si>
  <si>
    <t xml:space="preserve">Oct 2026</t>
  </si>
  <si>
    <t xml:space="preserve">ONB/CAT/102</t>
  </si>
  <si>
    <t xml:space="preserve">Bank whose central bank isn't in the BIS</t>
  </si>
  <si>
    <t xml:space="preserve">Commercial bank, licensed by its home banking regulator</t>
  </si>
  <si>
    <t xml:space="preserve">Home central bank</t>
  </si>
  <si>
    <t xml:space="preserve">Not a member of the Bank for International Settlements</t>
  </si>
  <si>
    <t xml:space="preserve">India presence</t>
  </si>
  <si>
    <t xml:space="preserve">None</t>
  </si>
  <si>
    <t xml:space="preserve">Category I, as a regulated bank</t>
  </si>
  <si>
    <t xml:space="preserve">Where does this applicant land?</t>
  </si>
  <si>
    <t xml:space="preserve">Category I, as a bank regulated by its home banking regulator</t>
  </si>
  <si>
    <t xml:space="preserve">Category II, which the guidelines allow for such banks</t>
  </si>
  <si>
    <t xml:space="preserve">Not eligible in any category, because of the BIS test</t>
  </si>
  <si>
    <t xml:space="preserve">Category I, once RBI approves the application</t>
  </si>
  <si>
    <t xml:space="preserve">A bank applicant is expected to come from a country whose central bank is a BIS member (Reg 4(e)). The guidelines let a bank regulated at home whose central bank isn't a BIS member seek registration under Category II instead.</t>
  </si>
  <si>
    <t xml:space="preserve">Category I for a bank assumes its central bank is a BIS member, which isn't the case here.</t>
  </si>
  <si>
    <t xml:space="preserve">Too strict. The guidelines expressly let this bank apply under Category II.</t>
  </si>
  <si>
    <t xml:space="preserve">No RBI approval converts this into Category I. RBI is consulted only for banks with an Indian presence.</t>
  </si>
  <si>
    <t xml:space="preserve">SEBI Operational Guidelines for FPIs and DDPs, Part A 3(i)</t>
  </si>
  <si>
    <t xml:space="preserve">In case a bank FPI applicant is regulated by the banking sector regulator in its home jurisdiction, but the central bank of that country is not a member of BIS, the FPI can seek registration under Category II.</t>
  </si>
  <si>
    <t xml:space="preserve">FPI Regs 2019, Reg 4(e); Op. Guidelines Part A 3(i)</t>
  </si>
  <si>
    <t xml:space="preserve">ONB/BNK/103</t>
  </si>
  <si>
    <t xml:space="preserve">Foreign bank with an Indian branch</t>
  </si>
  <si>
    <t xml:space="preserve">Proprietary investment arm of a European bank</t>
  </si>
  <si>
    <t xml:space="preserve">Group in India</t>
  </si>
  <si>
    <t xml:space="preserve">The bank has a branch in Mumbai</t>
  </si>
  <si>
    <t xml:space="preserve">Category I</t>
  </si>
  <si>
    <t xml:space="preserve">Documents</t>
  </si>
  <si>
    <t xml:space="preserve">Complete</t>
  </si>
  <si>
    <t xml:space="preserve">What extra step applies before you register it?</t>
  </si>
  <si>
    <t xml:space="preserve">None. Process it like any other Category I bank</t>
  </si>
  <si>
    <t xml:space="preserve">Send it to SEBI first, which gets RBI's comments</t>
  </si>
  <si>
    <t xml:space="preserve">Ask the applicant to get RBI's approval directly</t>
  </si>
  <si>
    <t xml:space="preserve">Register it now, then tell RBI within 7 working days of approval</t>
  </si>
  <si>
    <t xml:space="preserve">When the applicant or its group entity is a bank with a branch or representative office in India, or is a central bank, the DDP sends the form to SEBI. SEBI asks RBI for comments and passes them to the DDP to consider. This isn't repeated at continuance.</t>
  </si>
  <si>
    <t xml:space="preserve">The Indian branch triggers a reference to SEBI and RBI. Skipping it is a process breach.</t>
  </si>
  <si>
    <t xml:space="preserve">The DDP routes the form through SEBI. The applicant doesn't go to RBI itself.</t>
  </si>
  <si>
    <t xml:space="preserve">RBI's comments come before registration, not after it.</t>
  </si>
  <si>
    <t xml:space="preserve">In case an applicant/ its group entity is (i) bank or its subsidiary and has a bank branch/representative office in India or (ii) a central bank or its subsidiary, the respective DDP shall forward the application form to SEBI. SEBI would in turn request RBI to provide its comments. Based on the comments received from RBI, SEBI would notify the comments of RBI to DDP to consider while processing such applications.</t>
  </si>
  <si>
    <t xml:space="preserve">Op. Guidelines Part A 3(i)</t>
  </si>
  <si>
    <t xml:space="preserve">ONB/CAT/104</t>
  </si>
  <si>
    <t xml:space="preserve">Unregulated Luxembourg partnership</t>
  </si>
  <si>
    <t xml:space="preserve">Lindqvist Credit SCSp, Luxembourg</t>
  </si>
  <si>
    <t xml:space="preserve">Fund status</t>
  </si>
  <si>
    <t xml:space="preserve">Unregulated limited partnership</t>
  </si>
  <si>
    <t xml:space="preserve">Manager</t>
  </si>
  <si>
    <t xml:space="preserve">Luxembourg AIFM, appropriately regulated, registered with SEBI as a Category I FPI</t>
  </si>
  <si>
    <t xml:space="preserve">Undertaking</t>
  </si>
  <si>
    <t xml:space="preserve">Manager accepts responsibility for the fund's acts and omissions</t>
  </si>
  <si>
    <t xml:space="preserve">Which category?</t>
  </si>
  <si>
    <t xml:space="preserve">Category II, because the fund itself is unregulated</t>
  </si>
  <si>
    <t xml:space="preserve">Not eligible</t>
  </si>
  <si>
    <t xml:space="preserve">Category II until the fund is regulated</t>
  </si>
  <si>
    <t xml:space="preserve">A</t>
  </si>
  <si>
    <t xml:space="preserve">Under Reg 5(a)(iv)(II), an unregulated fund from a FATF member country is Category I when its manager is appropriately regulated, is registered as a Category I FPI, and takes responsibility for the fund's acts and omissions. Luxembourg is a FATF member.</t>
  </si>
  <si>
    <t xml:space="preserve">Reg 5(a)(iv)(II) lets an unregulated fund from a FATF country take Category I through a regulated Category I manager.</t>
  </si>
  <si>
    <t xml:space="preserve">Unregulated funds can register. Reg 5(b)(viii) even lists them under Category II.</t>
  </si>
  <si>
    <t xml:space="preserve">Category I is available now, without the fund being regulated.</t>
  </si>
  <si>
    <t xml:space="preserve">SEBI (FPI) Regulations, 2019, Regulation 5(a)(iv)</t>
  </si>
  <si>
    <t xml:space="preserve">(iv) Entities from the Financial Action Task Force member countries , or from any country specified by the Central Government by an order or by way of an agreement or treaty with other sovereign Governments, which are – I. appropriately regulated funds; II. unregulated funds whose investment manager is appropriately regulated and registered as a Category I foreign portfolio investor: Provided that the investment manager undertakes the responsibility of all the acts of commission or omission of such unregulated fund;</t>
  </si>
  <si>
    <t xml:space="preserve">FPI Regs 2019, Reg 5(a)(iv)(II)</t>
  </si>
  <si>
    <t xml:space="preserve">ONB/CAT/105</t>
  </si>
  <si>
    <t xml:space="preserve">Cayman fund, New York manager</t>
  </si>
  <si>
    <t xml:space="preserve">Halcyon Opportunities Fund Ltd, Cayman Islands</t>
  </si>
  <si>
    <t xml:space="preserve">Unregulated</t>
  </si>
  <si>
    <t xml:space="preserve">New York adviser, registered with SEBI as a Category I FPI</t>
  </si>
  <si>
    <t xml:space="preserve">Manager accepts responsibility for the fund</t>
  </si>
  <si>
    <t xml:space="preserve">Category II, because Cayman isn't a FATF member</t>
  </si>
  <si>
    <t xml:space="preserve">Category I, under Reg 5(a)(v)(A)</t>
  </si>
  <si>
    <t xml:space="preserve">Category I only if Cayman regulates the fund</t>
  </si>
  <si>
    <t xml:space="preserve">Reg 5(a)(v)(A) looks at the manager, not where the fund sits. An entity whose manager is from a FATF member country and is registered as a Category I FPI qualifies for Category I, provided the manager takes responsibility. Without that registration and undertaking, the fund would fall to Category II.</t>
  </si>
  <si>
    <t xml:space="preserve">That would be right under Reg 5(a)(iv), which looks at the fund's country. Reg 5(a)(v)(A) looks at the manager's.</t>
  </si>
  <si>
    <t xml:space="preserve">Nothing here fails the Reg 4 eligibility tests, and unregulated funds can register.</t>
  </si>
  <si>
    <t xml:space="preserve">The fund doesn't need to be regulated. The manager route gives Category I.</t>
  </si>
  <si>
    <t xml:space="preserve">SEBI (FPI) Regulations, 2019, Regulation 5(a)(v)</t>
  </si>
  <si>
    <t xml:space="preserve">(v) An entity (A) whose investment manager is from the Financial Action Task Force member country and such an investment manager is registered as a Category I foreign portfolio investor; or (B) which is at least seventy-five per cent owned, directly or indirectly by another entity, eligible under sub-clause (ii), (iii) and (iv) of clause (a) of this regulation and such an eligible entity is from a Financial Action Task Force member country: Provided that such an investment manager or eligible entity undertakes the responsibility of all the acts of commission or omission of the applicants seeking registration under this sub-clause.</t>
  </si>
  <si>
    <t xml:space="preserve">FPI Regs 2019, Reg 5(a)(v)(A) and proviso</t>
  </si>
  <si>
    <t xml:space="preserve">ONB/NRI/106</t>
  </si>
  <si>
    <t xml:space="preserve">NRI general partner runs the fund</t>
  </si>
  <si>
    <t xml:space="preserve">Meridian Growth Fund LP, Delaware</t>
  </si>
  <si>
    <t xml:space="preserve">Largest NRI</t>
  </si>
  <si>
    <t xml:space="preserve">20% of the corpus</t>
  </si>
  <si>
    <t xml:space="preserve">All NRI/OCI/RI</t>
  </si>
  <si>
    <t xml:space="preserve">45% of the corpus</t>
  </si>
  <si>
    <t xml:space="preserve">Control</t>
  </si>
  <si>
    <t xml:space="preserve">An NRI is the general partner. The manager isn't registered with SEBI.</t>
  </si>
  <si>
    <t xml:space="preserve">Is the applicant eligible?</t>
  </si>
  <si>
    <t xml:space="preserve">Yes. Both percentages are inside the limits</t>
  </si>
  <si>
    <t xml:space="preserve">No. NRIs can't be in control of the applicant</t>
  </si>
  <si>
    <t xml:space="preserve">Yes, but only if it registers as a Category II FPI instead</t>
  </si>
  <si>
    <t xml:space="preserve">No. Total NRI money has to stay under 25%</t>
  </si>
  <si>
    <t xml:space="preserve">Three tests apply: each NRI, OCI or RI below 25%, all of them together below 50%, and none of them in control. The control test has carve-outs: an offshore fund with a SEBI NOC under the Mutual Fund Regulations, or a manager controlled by NRIs that is regulated at home and registered with SEBI as a non-investing FPI, or set up and registered in India. None applies here.</t>
  </si>
  <si>
    <t xml:space="preserve">The percentages pass, but the control test fails. All three tests have to be met.</t>
  </si>
  <si>
    <t xml:space="preserve">The control test is an eligibility condition, so changing the category doesn't fix it.</t>
  </si>
  <si>
    <t xml:space="preserve">25% is the cap for a single NRI, OCI or RI. The cap on all of them together is below 50%.</t>
  </si>
  <si>
    <t xml:space="preserve">SEBI Operational Guidelines for FPIs and DDPs, Part A 2(ii)</t>
  </si>
  <si>
    <t xml:space="preserve">Where NRIs or OCI or RIs are constituents of the applicant – a. the contribution of a single NRI or OCI or RI shall be below twenty-five percent of the total contribution in the corpus of the applicant; b. the aggregate contribution of NRIs, OCIs and RIs shall be below fifty percent of the total contribution in the corpus of the applicant. Explanation: The contribution of RI is permitted, if made through the Liberalised Remittance Scheme (LRS) approved by Reserve Bank of India in global funds whose Indian exposure is less than 50%. c. the NRIs, OCIs and RIs shall not be in control of the applicant.</t>
  </si>
  <si>
    <t xml:space="preserve">FPI Regs 2019, Reg 4(c); Op. Guidelines Part A 2(ii)(a)–(d)</t>
  </si>
  <si>
    <t xml:space="preserve">MON/NRI/107</t>
  </si>
  <si>
    <t xml:space="preserve">Redemptions push NRI share over 50%</t>
  </si>
  <si>
    <t xml:space="preserve">Holder</t>
  </si>
  <si>
    <t xml:space="preserve">Existing Category II FPI</t>
  </si>
  <si>
    <t xml:space="preserve">Event</t>
  </si>
  <si>
    <t xml:space="preserve">Other investors redeem; NRI/OCI share rises to 53%</t>
  </si>
  <si>
    <t xml:space="preserve">Breach date</t>
  </si>
  <si>
    <t xml:space="preserve">1 July 2026</t>
  </si>
  <si>
    <t xml:space="preserve">Status on 15 July</t>
  </si>
  <si>
    <t xml:space="preserve">Still 53%</t>
  </si>
  <si>
    <t xml:space="preserve">What timeline applies?</t>
  </si>
  <si>
    <t xml:space="preserve">Sell all Indian holdings within 5 trading days of the breach</t>
  </si>
  <si>
    <t xml:space="preserve">90 days to fix it, then a purchase block and a 180-day exit</t>
  </si>
  <si>
    <t xml:space="preserve">No action needed, because a passive breach doesn't count</t>
  </si>
  <si>
    <t xml:space="preserve">Stop all trading today and report the breach to SEBI</t>
  </si>
  <si>
    <t xml:space="preserve">A temporary breach of the NRI/OCI/RI limits gives the FPI 90 days to comply again. If it is still in breach after 90 days, it can't make fresh purchases and must sell its positions within the following 180 days.</t>
  </si>
  <si>
    <t xml:space="preserve">5 trading days is the timeline for breaching an investment limit, not for breaching the investor-mix limits.</t>
  </si>
  <si>
    <t xml:space="preserve">A temporary breach still counts. The 90-day period exists to fix exactly this.</t>
  </si>
  <si>
    <t xml:space="preserve">Nothing is blocked on day one. The FPI gets 90 days to comply first.</t>
  </si>
  <si>
    <t xml:space="preserve">SEBI Operational Guidelines for FPIs and DDPs, Part A 2(ii)(f)</t>
  </si>
  <si>
    <t xml:space="preserve">In case of temporary breach of above investment limits after December 31. 2020, the foreign portfolio investor shall comply with the eligibility conditions within ninety days of its breach. In case the foreign portfolio investor remains non-compliant with the said requirement even after ninety days, then no fresh purchases shall be permitted and such foreign portfolio investor shall liquidate its existing position in Indian securities market within a period of the next one hundred and eighty days.</t>
  </si>
  <si>
    <t xml:space="preserve">Op. Guidelines Part A 2(ii)(f)</t>
  </si>
  <si>
    <t xml:space="preserve">MON/LIM/108</t>
  </si>
  <si>
    <t xml:space="preserve">IV</t>
  </si>
  <si>
    <t xml:space="preserve">Two sister FPIs cross 10% together</t>
  </si>
  <si>
    <t xml:space="preserve">FPI A</t>
  </si>
  <si>
    <t xml:space="preserve">Holds 6.2% of Company X</t>
  </si>
  <si>
    <t xml:space="preserve">FPI B</t>
  </si>
  <si>
    <t xml:space="preserve">Holds 3.5% of Company X</t>
  </si>
  <si>
    <t xml:space="preserve">Link</t>
  </si>
  <si>
    <t xml:space="preserve">Same parent owns 60% of both</t>
  </si>
  <si>
    <t xml:space="preserve">Today</t>
  </si>
  <si>
    <t xml:space="preserve">FPI B buys another 0.6%</t>
  </si>
  <si>
    <t xml:space="preserve">What's the position?</t>
  </si>
  <si>
    <t xml:space="preserve">Fine. Each FPI is below 10% on its own, so no breach</t>
  </si>
  <si>
    <t xml:space="preserve">Breach. Sell the excess in 5 trading days or it all becomes FDI</t>
  </si>
  <si>
    <t xml:space="preserve">Fine, as long as the aggregate FPI limit still has room</t>
  </si>
  <si>
    <t xml:space="preserve">Breach, and the exchange reverses B's new purchase to cure it</t>
  </si>
  <si>
    <t xml:space="preserve">Common ownership above 50%, or common control, puts FPIs in one investor group, and their holdings count together against the below-10% limit on a fully diluted basis. If the excess isn't sold within 5 trading days of settlement, the group's entire investment in the company is treated as FDI, and it can't make further portfolio investment in that company.</t>
  </si>
  <si>
    <t xml:space="preserve">Common ownership above 50% makes them one investor group, so the limit applies to the combined 10.3%.</t>
  </si>
  <si>
    <t xml:space="preserve">The aggregate FPI limit is a separate cap at company level. The 10% group limit still applies.</t>
  </si>
  <si>
    <t xml:space="preserve">Exchange trades aren't reversed. The fix is to sell down within 5 trading days, or the holding turns into FDI.</t>
  </si>
  <si>
    <t xml:space="preserve">SEBI (FPI) Regulations, 2019, Regulation 20(7)</t>
  </si>
  <si>
    <t xml:space="preserve">(7) The purchase of equity shares of each company by a single foreign portfolio investor including its investor group shall be below ten per cent of the total paid-up equity capital on a fully diluted basis of the company: Provided that where the total investment under these regulations by a foreign portfolio investor including its investor group exceeds the threshold of below ten per cent of the total paid up equity capital in a listed or to be listed company on a fully diluted basis, the foreign portfolio investor shall divest the excess holding within five trading days from the date of settlement of the trades resulting in the breach: Provided further that in case the foreign portfolio investor fails to divest the excess holding, the entire investment in the company by such foreign portfolio investor including its investor group shall be considered as investment under the Foreign Direct Investment, as per the procedure specified by the Board and the foreign portfolio investor and its investor group shall not make further portfolio investment in that company under these regulations,</t>
  </si>
  <si>
    <t xml:space="preserve">FPI Regs 2019, Reg 20(7), Reg 22(3)</t>
  </si>
  <si>
    <t xml:space="preserve">MON/LIM/109</t>
  </si>
  <si>
    <t xml:space="preserve">V</t>
  </si>
  <si>
    <t xml:space="preserve">Two UCITS under one management company</t>
  </si>
  <si>
    <t xml:space="preserve">Luxembourg UCITS, holds 6% of Company Y</t>
  </si>
  <si>
    <t xml:space="preserve">Irish UCITS, holds 5% of Company Y</t>
  </si>
  <si>
    <t xml:space="preserve">Same management company (common control); no common ownership above 50%</t>
  </si>
  <si>
    <t xml:space="preserve">Both</t>
  </si>
  <si>
    <t xml:space="preserve">Open to retail investors</t>
  </si>
  <si>
    <t xml:space="preserve">Are they combined for the 10% limit?</t>
  </si>
  <si>
    <t xml:space="preserve">Yes. Common control makes them one investor group</t>
  </si>
  <si>
    <t xml:space="preserve">No. That rule doesn't apply to regulated public retail funds</t>
  </si>
  <si>
    <t xml:space="preserve">Yes, unless SEBI grants these two funds a specific exemption order</t>
  </si>
  <si>
    <t xml:space="preserve">No, because they are domiciled in different countries</t>
  </si>
  <si>
    <t xml:space="preserve">Reg 22(4) switches off the common-control rule where the FPIs are appropriately regulated public retail funds, or retail funds with regulated managers. The relief covers common control only. If they also shared more than 50% ownership, they would still be combined.</t>
  </si>
  <si>
    <t xml:space="preserve">Normally yes, but Reg 22(4) switches off the common-control rule for appropriately regulated public retail funds.</t>
  </si>
  <si>
    <t xml:space="preserve">The exemption is written into Reg 22(4) itself. No SEBI order is needed.</t>
  </si>
  <si>
    <t xml:space="preserve">Country doesn't decide investor groups. Ownership and control do.</t>
  </si>
  <si>
    <t xml:space="preserve">SEBI (FPI) Regulations, 2019, Regulation 22(4)</t>
  </si>
  <si>
    <t xml:space="preserve">(4) Notwithstanding anything contained in sub-regulation (3), the clubbing of investment limit of foreign portfolio investors having common control shall not be applicable where – (a) foreign portfolio investors are appropriately regulated public retail funds; or (b) the foreign portfolio investors are public retail funds where the majority is owned by appropriately regulated public retail fund on look through basis; or (c) foreign portfolio investors are public retail funds and investment managers of such foreign portfolio investors are appropriately regulated. Explanation - Public retail funds means (i) mutual funds or unit trusts which are open for subscription to retail investors and which do not have specific investor type requirements like accredited investors; (ii) insurance companies where segregated portfolio with one to one correlation with a single investor is not maintained; and (iii)pension funds.</t>
  </si>
  <si>
    <t xml:space="preserve">FPI Regs 2019, Reg 22(4)</t>
  </si>
  <si>
    <t xml:space="preserve">MON/CHG/110</t>
  </si>
  <si>
    <t xml:space="preserve">Ownership change reported eight months late</t>
  </si>
  <si>
    <t xml:space="preserve">FPI</t>
  </si>
  <si>
    <t xml:space="preserve">Category I fund managed by an asset manager</t>
  </si>
  <si>
    <t xml:space="preserve">New parent bought 70% of the asset manager on 10 January 2026</t>
  </si>
  <si>
    <t xml:space="preserve">Told DDP</t>
  </si>
  <si>
    <t xml:space="preserve">15 September 2026</t>
  </si>
  <si>
    <t xml:space="preserve">Category impact</t>
  </si>
  <si>
    <t xml:space="preserve">Not yet assessed</t>
  </si>
  <si>
    <t xml:space="preserve">What does the DDP do?</t>
  </si>
  <si>
    <t xml:space="preserve">Update the records. Late reporting has no consequence</t>
  </si>
  <si>
    <t xml:space="preserve">Re-assess eligibility and report the delay to SEBI</t>
  </si>
  <si>
    <t xml:space="preserve">Cancel the registration for the late intimation</t>
  </si>
  <si>
    <t xml:space="preserve">Block the account permanently for the breach</t>
  </si>
  <si>
    <t xml:space="preserve">Any direct or indirect change in structure, ownership or control must be reported within 7 working days. The DDP has to re-assess eligibility. Where the FPI was more than six months late, the DDP must report the case to SEBI with the reason.</t>
  </si>
  <si>
    <t xml:space="preserve">A delay over six months has to go to SEBI, and the change itself needs an eligibility check.</t>
  </si>
  <si>
    <t xml:space="preserve">DDPs don't cancel registrations. That is SEBI's decision under the Intermediaries Regulations.</t>
  </si>
  <si>
    <t xml:space="preserve">There's no automatic permanent block. The DDP re-assesses eligibility and escalates the delay.</t>
  </si>
  <si>
    <t xml:space="preserve">SEBI Operational Guidelines for FPIs and DDPs, Part A 15</t>
  </si>
  <si>
    <t xml:space="preserve">In terms of Regulation 22(1)(c), if there is any change in the material information previously furnished by the FPI to the DDP and/or SEBI, which has a bearing on the certificate granted by the DDP on behalf of the Board or relating to any direct or indirect change in its structure or ownership or control, change in regulatory status, merger, demerger or restructuring, change in category/ sub-category / structure/ jurisdiction/ name of FPI/ beneficial ownership etc, of the FPI, it shall forthwith inform the DDP and/or the Board in writing. The DDP shall examine all such material changes and re-assess the eligibility of the FPI including requiring FPIs to seek fresh registration. However, DDP shall not process any request for change in jurisdiction of the FPI and in such cases, FPI may apply for new FPI registration. Where there is a delay of more than six months in intimation of material change by the FPI to the DDP, the DDP shall, forthwith, inform all such cases to SEBI for appropriate action, if any, along with reason for delay.</t>
  </si>
  <si>
    <t xml:space="preserve">FPI Regs 2019, Reg 22(1)(c), Reg 31(2)(e); Op. Guidelines Part A 15</t>
  </si>
  <si>
    <t xml:space="preserve">MON/CHG/111</t>
  </si>
  <si>
    <t xml:space="preserve">Fund moves from Dublin to Luxembourg</t>
  </si>
  <si>
    <t xml:space="preserve">Ireland-domiciled fund</t>
  </si>
  <si>
    <t xml:space="preserve">Redomiciled to Luxembourg</t>
  </si>
  <si>
    <t xml:space="preserve">Request</t>
  </si>
  <si>
    <t xml:space="preserve">Change the country on the existing registration</t>
  </si>
  <si>
    <t xml:space="preserve">Holdings</t>
  </si>
  <si>
    <t xml:space="preserve">Listed Indian equity</t>
  </si>
  <si>
    <t xml:space="preserve">Can the DDP make the change?</t>
  </si>
  <si>
    <t xml:space="preserve">Yes. Update the registration and its country code</t>
  </si>
  <si>
    <t xml:space="preserve">No. It needs a new FPI registration</t>
  </si>
  <si>
    <t xml:space="preserve">Yes, but only with SEBI's prior written approval</t>
  </si>
  <si>
    <t xml:space="preserve">Yes, because both countries are FATF members</t>
  </si>
  <si>
    <t xml:space="preserve">The DDP re-assesses most material changes, but it can't process a change in the FPI's jurisdiction. The FPI has to apply for a new registration.</t>
  </si>
  <si>
    <t xml:space="preserve">The guidelines specifically bar DDPs from processing a change of jurisdiction.</t>
  </si>
  <si>
    <t xml:space="preserve">There's no SEBI approval route for this. A fresh registration is the only option.</t>
  </si>
  <si>
    <t xml:space="preserve">FATF membership is irrelevant here. A change of jurisdiction can't be processed on an existing registration at all.</t>
  </si>
  <si>
    <t xml:space="preserve">SEBI Operational Guidelines for FPIs and DDPs, Part A 15(ii)</t>
  </si>
  <si>
    <t xml:space="preserve">The DDP shall examine all such material changes and re-assess the eligibility of the FPI including requiring FPIs to seek fresh registration. However, DDP shall not process any request for change in jurisdiction of the FPI and in such cases, FPI may apply for new FPI registration.</t>
  </si>
  <si>
    <t xml:space="preserve">Op. Guidelines Part A 15(ii)</t>
  </si>
  <si>
    <t xml:space="preserve">MON/REN/112</t>
  </si>
  <si>
    <t xml:space="preserve">Renewal fee paid seven weeks late</t>
  </si>
  <si>
    <t xml:space="preserve">Category II fund</t>
  </si>
  <si>
    <t xml:space="preserve">Fees paid up to</t>
  </si>
  <si>
    <t xml:space="preserve">31 August 2026</t>
  </si>
  <si>
    <t xml:space="preserve">20 October 2026</t>
  </si>
  <si>
    <t xml:space="preserve">Take the fee now and continue the registration</t>
  </si>
  <si>
    <t xml:space="preserve">What do you tell the client?</t>
  </si>
  <si>
    <t xml:space="preserve">Fine. Accept the fee with a written reason for the delay</t>
  </si>
  <si>
    <t xml:space="preserve">Not possible. Surrender, then file a fresh application</t>
  </si>
  <si>
    <t xml:space="preserve">Allowed, since it's still within 90 days of expiry</t>
  </si>
  <si>
    <t xml:space="preserve">Allowed, but only with SEBI's specific permission</t>
  </si>
  <si>
    <t xml:space="preserve">A registration stops being valid after the date fees were paid up to, and continuance can't be applied for after expiry. The entity must surrender and apply fresh. Fees and updates should reach the DDP at least 15 days before validity ends.</t>
  </si>
  <si>
    <t xml:space="preserve">A reason for delay covers renewal papers that arrive late but before expiry. After expiry, continuance isn't possible.</t>
  </si>
  <si>
    <t xml:space="preserve">There's no 90-day grace period after expiry.</t>
  </si>
  <si>
    <t xml:space="preserve">The guidelines give no SEBI permission route. It has to surrender and reapply.</t>
  </si>
  <si>
    <t xml:space="preserve">SEBI Operational Guidelines for FPIs and DDPs, Part A 5</t>
  </si>
  <si>
    <t xml:space="preserve">Where the FPI has not paid fees for continuance of its registration, its FPI registration shall cease to be valid after the date, up to which, the last registration fees were duly paid by the FPI. An FPI cannot apply for continuance after expiry of its registration. However, if such entity intends to have FPI registration, it will have to make a fresh application for registration after surrender of its earlier FPI registration.</t>
  </si>
  <si>
    <t xml:space="preserve">Op. Guidelines Part A 5(iii)–(vi); FPI Regs 2019, Reg 9(3)</t>
  </si>
  <si>
    <t xml:space="preserve">ONB/CLT/113</t>
  </si>
  <si>
    <t xml:space="preserve">Broker investing for its clients</t>
  </si>
  <si>
    <t xml:space="preserve">Singapore-licensed broker-dealer</t>
  </si>
  <si>
    <t xml:space="preserve">Registration sought</t>
  </si>
  <si>
    <t xml:space="preserve">Category II, to invest client money</t>
  </si>
  <si>
    <t xml:space="preserve">Proposed clients</t>
  </si>
  <si>
    <t xml:space="preserve">Two individuals, one family office, one trading company</t>
  </si>
  <si>
    <t xml:space="preserve">Client KYC</t>
  </si>
  <si>
    <t xml:space="preserve">Done to Singapore standards</t>
  </si>
  <si>
    <t xml:space="preserve">Can all four clients invest through this registration?</t>
  </si>
  <si>
    <t xml:space="preserve">Yes. All four would be eligible as FPIs on their own</t>
  </si>
  <si>
    <t xml:space="preserve">No. The trading company can't be a client</t>
  </si>
  <si>
    <t xml:space="preserve">Yes, if the broker also holds a Category I registration</t>
  </si>
  <si>
    <t xml:space="preserve">No. Brokers can't invest on behalf of clients at all</t>
  </si>
  <si>
    <t xml:space="preserve">Regulated entities can invest for clients as Category II FPIs, but those clients must be individuals or family offices, must themselves be eligible as FPIs, and can't act for third parties. Client details go to the DDP every quarter.</t>
  </si>
  <si>
    <t xml:space="preserve">Being FPI-eligible is necessary but not enough. The client also has to be an individual or a family office.</t>
  </si>
  <si>
    <t xml:space="preserve">A Category I registration covers the broker's own money. It doesn't widen who the client registration can serve.</t>
  </si>
  <si>
    <t xml:space="preserve">Regulated entities, brokers included, can invest for clients through a Category II registration.</t>
  </si>
  <si>
    <t xml:space="preserve">SEBI Operational Guidelines for FPIs and DDPs, Part A 3(iv)</t>
  </si>
  <si>
    <t xml:space="preserve">Where such entities are undertaking investments on behalf of their clients, Category II FPI registration shall be granted subject to following conditions: Clients of FPI can only be individuals and family offices.</t>
  </si>
  <si>
    <t xml:space="preserve">FPI Regs 2019, Reg 5(b)(vii); Op. Guidelines Part A 3(iv)</t>
  </si>
  <si>
    <t xml:space="preserve">MON/AML/114</t>
  </si>
  <si>
    <t xml:space="preserve">Major investor added to UN sanctions list</t>
  </si>
  <si>
    <t xml:space="preserve">An investor holding 30% of the corpus is added to the UN Security Council Sanctions List</t>
  </si>
  <si>
    <t xml:space="preserve">Pending</t>
  </si>
  <si>
    <t xml:space="preserve">A sell order on Indian holdings</t>
  </si>
  <si>
    <t xml:space="preserve">Home country</t>
  </si>
  <si>
    <t xml:space="preserve">Unchanged, compliant</t>
  </si>
  <si>
    <t xml:space="preserve">What do you do?</t>
  </si>
  <si>
    <t xml:space="preserve">Block new buys but let the pending sell go through</t>
  </si>
  <si>
    <t xml:space="preserve">Block all buying and selling, and notify SEBI</t>
  </si>
  <si>
    <t xml:space="preserve">Allow trading normally until SEBI writes in</t>
  </si>
  <si>
    <t xml:space="preserve">Freeze only that investor's share of the fund</t>
  </si>
  <si>
    <t xml:space="preserve">If the FPI or a material underlying investor comes under UNSC sanctions, the custodian must stop all further buying and selling in the account and notify SEBI immediately.</t>
  </si>
  <si>
    <t xml:space="preserve">Allowing sales is the rule when a home country loses compliant status. Sanctions block selling too.</t>
  </si>
  <si>
    <t xml:space="preserve">The custodian acts first and then notifies SEBI. It doesn't wait to hear back.</t>
  </si>
  <si>
    <t xml:space="preserve">The block covers the whole FPI account, not one investor's share.</t>
  </si>
  <si>
    <t xml:space="preserve">SEBI Operational Guidelines for FPIs and DDPs, Part A 16(i)</t>
  </si>
  <si>
    <t xml:space="preserve">Further, in case the FPI itself or its underlying investors contributing twenty-five percent or more in the corpus of the FPI or identified on the basis of control, come under the Sanctions List notified by the United Nations Security Council, custodian shall not allow any further buy/sell in the account of such FPI and shall forthwith notify such instances to SEBI.</t>
  </si>
  <si>
    <t xml:space="preserve">FPI Regs 2019, Reg 4(f); Op. Guidelines Part A 16(i)</t>
  </si>
  <si>
    <t xml:space="preserve">MON/JUR/115</t>
  </si>
  <si>
    <t xml:space="preserve">Home country put on the FATF high-risk list</t>
  </si>
  <si>
    <t xml:space="preserve">Category I fund</t>
  </si>
  <si>
    <t xml:space="preserve">Home country listed in FATF's public statement as high-risk</t>
  </si>
  <si>
    <t xml:space="preserve">Listed equity and G-Secs</t>
  </si>
  <si>
    <t xml:space="preserve">Fund itself</t>
  </si>
  <si>
    <t xml:space="preserve">No adverse findings</t>
  </si>
  <si>
    <t xml:space="preserve">What changes for this FPI?</t>
  </si>
  <si>
    <t xml:space="preserve">It must sell everything within 180 days</t>
  </si>
  <si>
    <t xml:space="preserve">No fresh purchases; it may hold or sell</t>
  </si>
  <si>
    <t xml:space="preserve">The registration is cancelled by the DDP</t>
  </si>
  <si>
    <t xml:space="preserve">Nothing changes until the next renewal</t>
  </si>
  <si>
    <t xml:space="preserve">When a jurisdiction stops being compliant (it leaves IOSCO, a SEBI MoU or the BIS, or FATF names it high-risk), the custodian blocks fresh purchases. The FPI may keep or sell what it holds, and the DDP reports the affected FPIs to SEBI.</t>
  </si>
  <si>
    <t xml:space="preserve">There's no forced sale. The FPI can keep or sell its holdings.</t>
  </si>
  <si>
    <t xml:space="preserve">The registration isn't cancelled. Fresh purchases are blocked until the jurisdiction is compliant again.</t>
  </si>
  <si>
    <t xml:space="preserve">The custodian acts as soon as the status changes, not at renewal.</t>
  </si>
  <si>
    <t xml:space="preserve">If a jurisdiction, which was a compliant jurisdiction at the time of grant of registration to FPI, becomes non-compliant jurisdiction i.e. ceases to be member of IOSCO/ Bilateral Memorandum of Understanding with SEBI/ BIS or the concerned jurisdiction of FPI is listed in FATF public statement as "high risk" and "noncooperative" jurisdiction or the concerned jurisdiction of FPI then concerned Custodian shall not allow such FPIs to make fresh purchases till the time the jurisdiction/FPI is compliant with the Regulations. However, the FPI shall be allowed to sell the securities or continue to hold the securities already purchased by it. The concerned DDP shall inform to SEBI details of such FPIs upon such change.</t>
  </si>
  <si>
    <t xml:space="preserve">Op. Guidelines Part A 16(i)</t>
  </si>
  <si>
    <t xml:space="preserve">ONB/REJ/116</t>
  </si>
  <si>
    <t xml:space="preserve">Rejected for missing papers</t>
  </si>
  <si>
    <t xml:space="preserve">Category II corporate body</t>
  </si>
  <si>
    <t xml:space="preserve">Rejected by</t>
  </si>
  <si>
    <t xml:space="preserve">DDP A, for incomplete documents and unpaid fee</t>
  </si>
  <si>
    <t xml:space="preserve">Client wants to</t>
  </si>
  <si>
    <t xml:space="preserve">Appeal to SEBI</t>
  </si>
  <si>
    <t xml:space="preserve">Days since rejection</t>
  </si>
  <si>
    <t xml:space="preserve">12</t>
  </si>
  <si>
    <t xml:space="preserve">What's the right route?</t>
  </si>
  <si>
    <t xml:space="preserve">Ask SEBI to reconsider within 30 days</t>
  </si>
  <si>
    <t xml:space="preserve">Fix the gaps and reapply, with any DDP</t>
  </si>
  <si>
    <t xml:space="preserve">Wait six months before reapplying anywhere</t>
  </si>
  <si>
    <t xml:space="preserve">Reapply only through DDP A, which rejected it</t>
  </si>
  <si>
    <t xml:space="preserve">An applicant can ask SEBI to reconsider within 30 days, but not when the rejection was technical: missing information or documents, or unpaid fees. Another DDP can take the application once it has checked why it was rejected and confirmed the gaps are fixed.</t>
  </si>
  <si>
    <t xml:space="preserve">The 30-day reconsideration route exists, but Reg 8(3) excludes technical rejections like missing documents or fees.</t>
  </si>
  <si>
    <t xml:space="preserve">There's no waiting period. It can reapply as soon as the gaps are fixed.</t>
  </si>
  <si>
    <t xml:space="preserve">Any DDP can take it, after checking the rejection reason in the depositories' shared database.</t>
  </si>
  <si>
    <t xml:space="preserve">SEBI (FPI) Regulations, 2019, Regulation 8(3)</t>
  </si>
  <si>
    <t xml:space="preserve">(3) The applicant, who is aggrieved by the decision of the designated depository participant under sub-regulation (1) may, within a period of thirty days from the date of receipt of communication under sub-regulation (2), apply to the Board for reconsideration of the decision of the designated depository participant: Provided that such application for reconsideration shall not be considered by the Board where the rejection was on account of technical reasons such as non-submission of complete information, documents, including non-payment of specified fees.</t>
  </si>
  <si>
    <t xml:space="preserve">FPI Regs 2019, Reg 8(3); Op. Guidelines Part A 7</t>
  </si>
  <si>
    <t xml:space="preserve">MON/INV/117</t>
  </si>
  <si>
    <t xml:space="preserve">30% of a Category III AIF</t>
  </si>
  <si>
    <t xml:space="preserve">Category I pension fund</t>
  </si>
  <si>
    <t xml:space="preserve">Proposal</t>
  </si>
  <si>
    <t xml:space="preserve">Subscribe to 30% of a SEBI-registered Category III AIF</t>
  </si>
  <si>
    <t xml:space="preserve">Other holdings</t>
  </si>
  <si>
    <t xml:space="preserve">Listed equity</t>
  </si>
  <si>
    <t xml:space="preserve">AIF</t>
  </si>
  <si>
    <t xml:space="preserve">Domestic, open to FPIs</t>
  </si>
  <si>
    <t xml:space="preserve">Can it take the full 30%?</t>
  </si>
  <si>
    <t xml:space="preserve">Yes. Category III AIF units are permitted for FPIs</t>
  </si>
  <si>
    <t xml:space="preserve">No. An FPI can't hold more than 25% in a Category III AIF</t>
  </si>
  <si>
    <t xml:space="preserve">Only with RBI's prior approval for the stake above 25%</t>
  </si>
  <si>
    <t xml:space="preserve">Only Category II FPIs can invest in AIFs</t>
  </si>
  <si>
    <t xml:space="preserve">FPIs can invest in units of Category III AIFs, REITs and InvITs, but a single FPI can't hold more than 25% of a Category III AIF.</t>
  </si>
  <si>
    <t xml:space="preserve">They are permitted, but capped at 25% of any one AIF.</t>
  </si>
  <si>
    <t xml:space="preserve">No RBI approval lifts the 25% cap.</t>
  </si>
  <si>
    <t xml:space="preserve">Both categories can invest in Category III AIF units.</t>
  </si>
  <si>
    <t xml:space="preserve">SEBI Operational Guidelines for FPIs and DDPs, Part C 14(ii)</t>
  </si>
  <si>
    <t xml:space="preserve">A FPI shall not hold more than twenty five percent stake in a category III AIF.</t>
  </si>
  <si>
    <t xml:space="preserve">FPI Regs 2019, Reg 20(1)(e); Op. Guidelines Part C 14</t>
  </si>
  <si>
    <t xml:space="preserve">MON/ODI/118</t>
  </si>
  <si>
    <t xml:space="preserve">Category II fund wants to issue P-notes</t>
  </si>
  <si>
    <t xml:space="preserve">Category II unregulated trust</t>
  </si>
  <si>
    <t xml:space="preserve">Plan</t>
  </si>
  <si>
    <t xml:space="preserve">Issue offshore derivative instruments on Indian equity</t>
  </si>
  <si>
    <t xml:space="preserve">Subscribers</t>
  </si>
  <si>
    <t xml:space="preserve">Mix of institutions and wealthy individuals</t>
  </si>
  <si>
    <t xml:space="preserve">Hedge</t>
  </si>
  <si>
    <t xml:space="preserve">Cash equity held in India</t>
  </si>
  <si>
    <t xml:space="preserve">Can it issue these ODIs?</t>
  </si>
  <si>
    <t xml:space="preserve">Yes, as long as it reports them to SEBI monthly</t>
  </si>
  <si>
    <t xml:space="preserve">No. Only Category I FPIs can issue ODIs</t>
  </si>
  <si>
    <t xml:space="preserve">Yes, through a separate ODI-suffixed registration</t>
  </si>
  <si>
    <t xml:space="preserve">Yes, but only to institutional subscribers</t>
  </si>
  <si>
    <t xml:space="preserve">Only Category I FPIs can issue ODIs, only to persons eligible for Category I registration, and only after KYC on the subscribers.</t>
  </si>
  <si>
    <t xml:space="preserve">Monthly reporting is a duty of eligible issuers. It doesn't make a Category II FPI eligible.</t>
  </si>
  <si>
    <t xml:space="preserve">A separate registration with an "ODI" suffix keeps a Category I issuer's derivatives apart. It doesn't let a Category II FPI issue.</t>
  </si>
  <si>
    <t xml:space="preserve">The issuer must be Category I, whoever the subscribers are.</t>
  </si>
  <si>
    <t xml:space="preserve">SEBI (FPI) Regulations, 2019, Regulation 21(1)</t>
  </si>
  <si>
    <t xml:space="preserve">(a) such offshore derivative instruments are issued only by persons registered as Category I foreign portfolio investor; (b) such offshore derivative instruments are issued only to persons eligible for registration as Category I foreign portfolio investors;</t>
  </si>
  <si>
    <t xml:space="preserve">FPI Regs 2019, Reg 21(1)</t>
  </si>
  <si>
    <t xml:space="preserve">EXT/SUR/119</t>
  </si>
  <si>
    <t xml:space="preserve">Surrender with stranded delisted shares</t>
  </si>
  <si>
    <t xml:space="preserve">Category II fund winding up</t>
  </si>
  <si>
    <t xml:space="preserve">Delisted shares it can't sell on exchange</t>
  </si>
  <si>
    <t xml:space="preserve">Bank account</t>
  </si>
  <si>
    <t xml:space="preserve">Nil balance</t>
  </si>
  <si>
    <t xml:space="preserve">Surrender the registration now</t>
  </si>
  <si>
    <t xml:space="preserve">What has to happen first?</t>
  </si>
  <si>
    <t xml:space="preserve">Nothing. Residual shares don't block a surrender</t>
  </si>
  <si>
    <t xml:space="preserve">Get holdings to nil, by off-market sale or write-off</t>
  </si>
  <si>
    <t xml:space="preserve">Transfer the stranded shares to the custodian</t>
  </si>
  <si>
    <t xml:space="preserve">Wait for SEBI to cancel the registration on its own initiative</t>
  </si>
  <si>
    <t xml:space="preserve">The DDP asks SEBI for a no-objection certificate only after confirming nil securities, nil bank balance and nil open derivatives. Delisted shares can be sold off-market under FEMA pricing. If that fails, an FPI that intends to surrender can write them off, reported as a sale with nil proceeds.</t>
  </si>
  <si>
    <t xml:space="preserve">The DDP seeks SEBI's no-objection certificate only after confirming nil holdings.</t>
  </si>
  <si>
    <t xml:space="preserve">The custodian doesn't take the shares. A write-off removes them from its books and freezes the demat account.</t>
  </si>
  <si>
    <t xml:space="preserve">Surrender is a request through the DDP with SEBI's no-objection certificate. Nothing happens automatically.</t>
  </si>
  <si>
    <t xml:space="preserve">SEBI Operational Guidelines for FPIs and DDPs, Part A 11(i)</t>
  </si>
  <si>
    <t xml:space="preserve">DDP shall seek a “No Objection Certificate” (NOC) from the Board to process such surrender after ensuring that the holdings of the concerned applicant in security account and bank account is nil and there are nil outstanding derivative positions.</t>
  </si>
  <si>
    <t xml:space="preserve">Op. Guidelines Part A 11; Part C 3(iii) and 17</t>
  </si>
  <si>
    <t xml:space="preserve">MON/INV/120</t>
  </si>
  <si>
    <t xml:space="preserve">FPI wants shares in an unlisted company</t>
  </si>
  <si>
    <t xml:space="preserve">Category I UK pension fund</t>
  </si>
  <si>
    <t xml:space="preserve">Target</t>
  </si>
  <si>
    <t xml:space="preserve">Unlisted Indian fintech</t>
  </si>
  <si>
    <t xml:space="preserve">Deal</t>
  </si>
  <si>
    <t xml:space="preserve">Buy 4% from existing shareholders</t>
  </si>
  <si>
    <t xml:space="preserve">Book it through the FPI account</t>
  </si>
  <si>
    <t xml:space="preserve">Can this go through the FPI route?</t>
  </si>
  <si>
    <t xml:space="preserve">Yes, because it's well under the 10% limit</t>
  </si>
  <si>
    <t xml:space="preserve">No. Buying unlisted equity is FDI</t>
  </si>
  <si>
    <t xml:space="preserve">Yes, but only with SEBI's prior approval</t>
  </si>
  <si>
    <t xml:space="preserve">Yes, if it's booked as an off-market transfer</t>
  </si>
  <si>
    <t xml:space="preserve">The FPI route covers shares of companies that are listed, or about to be listed, on an Indian exchange. Buying shares in an unlisted company is foreign direct investment under FEMA.</t>
  </si>
  <si>
    <t xml:space="preserve">The 10% limit only matters for securities an FPI is allowed to buy, and unlisted equity isn't one of them.</t>
  </si>
  <si>
    <t xml:space="preserve">No SEBI approval brings unlisted equity into the FPI route.</t>
  </si>
  <si>
    <t xml:space="preserve">Off-market sales of unlisted shares are allowed for getting out, at FEMA pricing, not for buying in.</t>
  </si>
  <si>
    <t xml:space="preserve">SEBI (FPI) Regulations, 2019, Regulation 20(1)(a)</t>
  </si>
  <si>
    <t xml:space="preserve">20. (1) A foreign portfolio investor shall invest only in the following securities, namely (a) shares, debentures and warrants issued by a body corporate; listed or to be listed on a recognized stock exchange in India;</t>
  </si>
  <si>
    <t xml:space="preserve">FPI Regs 2019, Reg 20(1)(a); Op. Guidelines Part C 4</t>
  </si>
  <si>
    <t xml:space="preserve">SWG/ELG/201</t>
  </si>
  <si>
    <t xml:space="preserve">SW</t>
  </si>
  <si>
    <t xml:space="preserve">Luxembourg UCITS applies for SWAGAT</t>
  </si>
  <si>
    <t xml:space="preserve">Aurelia Global Equity, a Luxembourg SICAV authorised by the CSSF</t>
  </si>
  <si>
    <t xml:space="preserve">Investors</t>
  </si>
  <si>
    <t xml:space="preserve">Retail; no accredited-investor condition</t>
  </si>
  <si>
    <t xml:space="preserve">Portfolio</t>
  </si>
  <si>
    <t xml:space="preserve">Common pool, diversified</t>
  </si>
  <si>
    <t xml:space="preserve">Independent management company</t>
  </si>
  <si>
    <t xml:space="preserve">Can it be tagged SWAGAT-FI?</t>
  </si>
  <si>
    <t xml:space="preserve">Yes, as a public retail fund</t>
  </si>
  <si>
    <t xml:space="preserve">No. Only government investors can qualify</t>
  </si>
  <si>
    <t xml:space="preserve">Only after three years as a regular FPI</t>
  </si>
  <si>
    <t xml:space="preserve">No. UCITS have to stay in Category II</t>
  </si>
  <si>
    <t xml:space="preserve">A retail fund qualifies if it is open to retail investors, runs as a blind pool with diversified investors and investments, has contributors without day-to-day control and an independent manager, and comes from a jurisdiction named in the SOP. Luxembourg UCITS are on the list.</t>
  </si>
  <si>
    <t xml:space="preserve">Four types qualify: government investors, retail mutual funds, insurers and pension funds.</t>
  </si>
  <si>
    <t xml:space="preserve">There's no waiting period. Eligible applicants can opt in when they first register.</t>
  </si>
  <si>
    <t xml:space="preserve">UCITS are often Category I anyway, and the SWAGAT letter is open to Category I and II FPIs alike.</t>
  </si>
  <si>
    <t xml:space="preserve">SEBI circular, 16 Jan 2026 (SWAGAT-FI), para 3.2 (vi)(I)</t>
  </si>
  <si>
    <t xml:space="preserve">I. The following shall be eligible for registration as SWAGAT-FI FPI a. Government or Government related investor as provided under Regulation 5(a)(i) of the FPI Regulations, 2019; b. Appropriately regulated mutual fund or unit trust open for subscription to retail investors without any specific investor type requirements like accredited investors and complying with the following conditions: i. The applicant operates as a blind pool (i.e. common portfolio) with diversified investors and investments. ii. The contributors to the applicant do not have control over day-to-day operations of the applicant and the investment manager of the applicant is independent from such contributors;</t>
  </si>
  <si>
    <t xml:space="preserve">SEBI circular, 16 Jan 2026 (SWAGAT-FI), para 3.2 (vi)(II)</t>
  </si>
  <si>
    <t xml:space="preserve">II. The applicant being a public retail fund is setup in identified jurisdiction and regulated by the identified statutory authority / regulatory body in such identified jurisdiction. The list of identified jurisdictions and identified statutory authority / regulatory body shall be spelt out in the Standard Operating Procedure framed and adopted by Custodians and Designated Depository Participants Standards Setting Forum (CDSSF) in consultation with SEBI.</t>
  </si>
  <si>
    <t xml:space="preserve">SEBI circular 16 Jan 2026, para 3.2 (vi)(I)–(II); SWAGAT SOP 27 May 2026, Annex B</t>
  </si>
  <si>
    <t xml:space="preserve">SWG/ELG/202</t>
  </si>
  <si>
    <t xml:space="preserve">Irish AIF sold only to qualified investors</t>
  </si>
  <si>
    <t xml:space="preserve">Irish AIF authorised by the Central Bank of Ireland</t>
  </si>
  <si>
    <t xml:space="preserve">Marketing</t>
  </si>
  <si>
    <t xml:space="preserve">Qualified investors only, as noted on the Central Bank register</t>
  </si>
  <si>
    <t xml:space="preserve">Diversified</t>
  </si>
  <si>
    <t xml:space="preserve">Current status</t>
  </si>
  <si>
    <t xml:space="preserve">Category I FPI</t>
  </si>
  <si>
    <t xml:space="preserve">Does it qualify for SWAGAT-FI?</t>
  </si>
  <si>
    <t xml:space="preserve">Yes. It's regulated and based in a FATF member country</t>
  </si>
  <si>
    <t xml:space="preserve">No. A qualified-investor fund isn't a public retail fund</t>
  </si>
  <si>
    <t xml:space="preserve">Yes, as long as it gives a signed declaration to the DDP</t>
  </si>
  <si>
    <t xml:space="preserve">Yes, because it's already registered with SEBI as a Category I FPI</t>
  </si>
  <si>
    <t xml:space="preserve">The SOP says an Irish AIF marketed to qualified investors, as shown on the Central Bank of Ireland register, is not a public retail fund. It stays a regular FPI.</t>
  </si>
  <si>
    <t xml:space="preserve">Being regulated in a FATF country earns Category I. SWAGAT also needs the fund to be open to retail investors.</t>
  </si>
  <si>
    <t xml:space="preserve">The DDP can't rely on a declaration, and here the regulator's register says the opposite.</t>
  </si>
  <si>
    <t xml:space="preserve">Category I status doesn't make it a public retail fund.</t>
  </si>
  <si>
    <t xml:space="preserve">CDSSF SOP for SWAGAT-FI, 27 May 2026, Annex B (Ireland)</t>
  </si>
  <si>
    <t xml:space="preserve">In case an AIF is marketed to qualified investors, the same is reflected on the Central Bank of Ireland website in the notes section. (such notification is available at umbrella fund level and not sub fund level) Sample case provided below. Such cases shall not be considered PRFs. Other AIFs are retail and considered as RAIF.</t>
  </si>
  <si>
    <t xml:space="preserve">SWAGAT SOP 27 May 2026, Annex B (Ireland)</t>
  </si>
  <si>
    <t xml:space="preserve">SWG/ELG/203</t>
  </si>
  <si>
    <t xml:space="preserve">Insurer with unit-linked sleeves</t>
  </si>
  <si>
    <t xml:space="preserve">Regulated life insurer</t>
  </si>
  <si>
    <t xml:space="preserve">India money</t>
  </si>
  <si>
    <t xml:space="preserve">Own funds, plus unit-linked portfolios each tied to a single policyholder</t>
  </si>
  <si>
    <t xml:space="preserve">Insurance supervisor in a permitted jurisdiction</t>
  </si>
  <si>
    <t xml:space="preserve">SWAGAT-FI</t>
  </si>
  <si>
    <t xml:space="preserve">Is it eligible?</t>
  </si>
  <si>
    <t xml:space="preserve">Yes. Regulated insurers always qualify</t>
  </si>
  <si>
    <t xml:space="preserve">No. The segregated portfolios rule it out</t>
  </si>
  <si>
    <t xml:space="preserve">Yes, by applying as a pension fund instead</t>
  </si>
  <si>
    <t xml:space="preserve">Yes, if unit-linked money is under 50%</t>
  </si>
  <si>
    <t xml:space="preserve">The insurance route covers an appropriately regulated insurer investing its own funds without segregated portfolios, and the insurer has to show evidence of that. Portfolios each tied to one policyholder fail the test.</t>
  </si>
  <si>
    <t xml:space="preserve">Only insurers investing their own funds, with no segregated portfolios, qualify.</t>
  </si>
  <si>
    <t xml:space="preserve">An insurer isn't a pension fund, and a different label doesn't remove the segregated portfolios.</t>
  </si>
  <si>
    <t xml:space="preserve">There's no percentage threshold. Any segregated portfolio fails the test.</t>
  </si>
  <si>
    <t xml:space="preserve">SEBI circular, 16 Jan 2026 (SWAGAT-FI), para 3.2 (vi)(I)(c)</t>
  </si>
  <si>
    <t xml:space="preserve">c. Appropriately regulated insurance company investing its own funds and does not have segregated portfolios;</t>
  </si>
  <si>
    <t xml:space="preserve">SEBI circular 16 Jan 2026, para 3.2 (vi)(I)(c); SWAGAT SOP, section 8</t>
  </si>
  <si>
    <t xml:space="preserve">SWG/ELG/204</t>
  </si>
  <si>
    <t xml:space="preserve">Manager's own seed money in the fund</t>
  </si>
  <si>
    <t xml:space="preserve">Singapore authorised collective investment scheme, retail</t>
  </si>
  <si>
    <t xml:space="preserve">Manager stake</t>
  </si>
  <si>
    <t xml:space="preserve">4%, seeded as skin in the game</t>
  </si>
  <si>
    <t xml:space="preserve">Same group as the fund's sponsor</t>
  </si>
  <si>
    <t xml:space="preserve">Other investors</t>
  </si>
  <si>
    <t xml:space="preserve">Diversified retail</t>
  </si>
  <si>
    <t xml:space="preserve">Does either fact block SWAGAT-FI?</t>
  </si>
  <si>
    <t xml:space="preserve">Yes. The manager is a contributor, so the manager isn't independent</t>
  </si>
  <si>
    <t xml:space="preserve">No. Skin-in-the-game money and a same-group manager are both allowed</t>
  </si>
  <si>
    <t xml:space="preserve">Yes. The manager must come from outside the sponsor's group to be independent</t>
  </si>
  <si>
    <t xml:space="preserve">Only if the stake exceeds 2%</t>
  </si>
  <si>
    <t xml:space="preserve">The SOP clarifies that the test of contributors not controlling the fund ignores a manager's skin-in-the-game money. And the independence test doesn't stop a manager from the FPI's own group from managing or controlling the fund.</t>
  </si>
  <si>
    <t xml:space="preserve">The SOP leaves skin-in-the-game money out of the control and independence tests.</t>
  </si>
  <si>
    <t xml:space="preserve">The SOP says a manager from the same group doesn't breach independence.</t>
  </si>
  <si>
    <t xml:space="preserve">The SOP sets no percentage threshold for skin in the game.</t>
  </si>
  <si>
    <t xml:space="preserve">CDSSF SOP for SWAGAT-FI, 27 May 2026, Section 3 B.1(b)–(c)</t>
  </si>
  <si>
    <t xml:space="preserve">b. The requirement that the contributors to the applicant should not have control over day-to-day operations of the applicant shall not apply in respect of contributions made by the Investment Manager to the fund solely for the purpose of “skin in the game.” requirements, if any. c. The requirement that the applicant's Investment Manager being independent of the contributors to the applicant shall not be construed to prohibit an Investment Manager belonging to the same group as the FPI from managing and/ or controlling the fund.</t>
  </si>
  <si>
    <t xml:space="preserve">SWAGAT SOP 27 May 2026, section 3 B.1(b)–(c)</t>
  </si>
  <si>
    <t xml:space="preserve">SWG/CNV/205</t>
  </si>
  <si>
    <t xml:space="preserve">Sovereign fund converts to SWAGAT</t>
  </si>
  <si>
    <t xml:space="preserve">Category I sovereign wealth fund, registered under Reg 5(a)(i) in 2021</t>
  </si>
  <si>
    <t xml:space="preserve">Next renewal</t>
  </si>
  <si>
    <t xml:space="preserve">March 2027</t>
  </si>
  <si>
    <t xml:space="preserve">Convert to SWAGAT-FI</t>
  </si>
  <si>
    <t xml:space="preserve">Changes</t>
  </si>
  <si>
    <t xml:space="preserve">What does it need to submit and pay?</t>
  </si>
  <si>
    <t xml:space="preserve">A fresh KYC pack for the DDP, plus the US$2,500 SWAGAT fee</t>
  </si>
  <si>
    <t xml:space="preserve">A declaration of intent only, with no fee now</t>
  </si>
  <si>
    <t xml:space="preserve">A full re-registration with the DDP</t>
  </si>
  <si>
    <t xml:space="preserve">A one-time conversion fee of US$250</t>
  </si>
  <si>
    <t xml:space="preserve">An FPI already registered as a government or government-related investor only declares its intent, using the SWAGAT requisition letter, with no further documents. No fee is due on transition. SEBI fees fall due at the next renewal after a 10-year block.</t>
  </si>
  <si>
    <t xml:space="preserve">A government investor that's already registered needs no further documents, and no fee is due at transition.</t>
  </si>
  <si>
    <t xml:space="preserve">Converting is an application to the existing DDP, not a new registration.</t>
  </si>
  <si>
    <t xml:space="preserve">There's no conversion fee. US$250 is the regular Category II registration fee.</t>
  </si>
  <si>
    <t xml:space="preserve">CDSSF SOP for SWAGAT-FI, 27 May 2026, Section 3 B.6(a)</t>
  </si>
  <si>
    <t xml:space="preserve">a. Where existing FPIs transitions to SWAGAT-FI, the FPI is not required to pay any fees at the time of transition. The applicable SEBI fees will be paid at the next renewal date after a block of 10 years.</t>
  </si>
  <si>
    <t xml:space="preserve">SWAGAT SOP, section 3 A.2 and B.6(a), section 8 row 1</t>
  </si>
  <si>
    <t xml:space="preserve">SWG/FEE/206</t>
  </si>
  <si>
    <t xml:space="preserve">New applicant wants FPI and FVCI</t>
  </si>
  <si>
    <t xml:space="preserve">Regulated pension fund, new to India</t>
  </si>
  <si>
    <t xml:space="preserve">Wants</t>
  </si>
  <si>
    <t xml:space="preserve">SWAGAT-FI FPI and SWAGAT-FI FVCI</t>
  </si>
  <si>
    <t xml:space="preserve">PAN</t>
  </si>
  <si>
    <t xml:space="preserve">One PAN for the entity</t>
  </si>
  <si>
    <t xml:space="preserve">Question</t>
  </si>
  <si>
    <t xml:space="preserve">Upfront SEBI fee</t>
  </si>
  <si>
    <t xml:space="preserve">What is the fresh registration fee?</t>
  </si>
  <si>
    <t xml:space="preserve">US$2,500 for 3 years</t>
  </si>
  <si>
    <t xml:space="preserve">US$5,000, covering 10 years</t>
  </si>
  <si>
    <t xml:space="preserve">US$2,600, covering 10 years</t>
  </si>
  <si>
    <t xml:space="preserve">US$2,500 every year</t>
  </si>
  <si>
    <t xml:space="preserve">A SWAGAT-FI pays for 10 years in advance: US$2,500 for FPI only, US$2,500 for FVCI only, or US$5,000 for both, plus taxes. Renewal is US$2,500, US$100 or US$2,600.</t>
  </si>
  <si>
    <t xml:space="preserve">US$2,500 per 3 years is the regular Category I fee. SWAGAT fees cover 10 years, and this applicant wants both registrations.</t>
  </si>
  <si>
    <t xml:space="preserve">US$2,600 is the renewal fee for both, not the fresh fee.</t>
  </si>
  <si>
    <t xml:space="preserve">SWAGAT fees are paid once for the 10-year block, not every year.</t>
  </si>
  <si>
    <t xml:space="preserve">CDSSF SOP for SWAGAT-FI, 27 May 2026, Section 3 B.5 (fee table, reformatted)</t>
  </si>
  <si>
    <t xml:space="preserve">SWAGAT-FI will pay only for 10 years in advance, along with applicable taxes (amounts in USD). Registration fees (fresh): Only FPI 2500 · Only FVCI 2500 · FPI and FVCI 5000. Renewal: Only FPI 2500 · Only FVCI 100 · FPI and FVCI 2600. *For the same entity there will be one PAN, and fees would apply only once.</t>
  </si>
  <si>
    <t xml:space="preserve">SWAGAT SOP 27 May 2026, section 3 B.5</t>
  </si>
  <si>
    <t xml:space="preserve">SWG/KYC/207</t>
  </si>
  <si>
    <t xml:space="preserve">Custodian diary shows a 2029 KYC review</t>
  </si>
  <si>
    <t xml:space="preserve">SWAGAT-FI pension fund, registered June 2026</t>
  </si>
  <si>
    <t xml:space="preserve">Custodian diary</t>
  </si>
  <si>
    <t xml:space="preserve">KYC review: June 2029</t>
  </si>
  <si>
    <t xml:space="preserve">Risk rating</t>
  </si>
  <si>
    <t xml:space="preserve">Low</t>
  </si>
  <si>
    <t xml:space="preserve">Custodian policy</t>
  </si>
  <si>
    <t xml:space="preserve">No special rule</t>
  </si>
  <si>
    <t xml:space="preserve">Is the 2029 date right?</t>
  </si>
  <si>
    <t xml:space="preserve">Yes. KYC review is every 3 years for every FPI</t>
  </si>
  <si>
    <t xml:space="preserve">No. The default for SWAGAT-FIs is every 10 years</t>
  </si>
  <si>
    <t xml:space="preserve">No. Once tagged SWAGAT-FI, it never needs a KYC review again</t>
  </si>
  <si>
    <t xml:space="preserve">Yes, but only because it's a pension fund</t>
  </si>
  <si>
    <t xml:space="preserve">For SWAGAT-FIs, both continuance and KYC review move to a 10-year cycle. The SOP leaves room for a different period set by RBI, for RBI-regulated entities, or by the DDP's own risk policy.</t>
  </si>
  <si>
    <t xml:space="preserve">Three years is the usual cycle for regular, lower-risk FPIs. SWAGAT-FIs move to 10 years.</t>
  </si>
  <si>
    <t xml:space="preserve">The review still happens, every 10 years by default.</t>
  </si>
  <si>
    <t xml:space="preserve">The 10-year cycle applies to every type of SWAGAT-FI, pension funds included.</t>
  </si>
  <si>
    <t xml:space="preserve">SEBI circular, 16 Jan 2026 (SWAGAT-FI), para 3.4</t>
  </si>
  <si>
    <t xml:space="preserve">In case of SWAGAT-FI FPI, periodicity of KYC review by custodians shall be 10 years.</t>
  </si>
  <si>
    <t xml:space="preserve">Circular 16 Jan 2026, paras 3.3–3.4; SWAGAT SOP, section 3 B.2</t>
  </si>
  <si>
    <t xml:space="preserve">SWG/NRI/208</t>
  </si>
  <si>
    <t xml:space="preserve">Resident Indian money in a SWAGAT fund</t>
  </si>
  <si>
    <t xml:space="preserve">SWAGAT-FI retail fund</t>
  </si>
  <si>
    <t xml:space="preserve">30% of the corpus</t>
  </si>
  <si>
    <t xml:space="preserve">Resident Indians</t>
  </si>
  <si>
    <t xml:space="preserve">Individuals investing through LRS</t>
  </si>
  <si>
    <t xml:space="preserve">Fund's India exposure</t>
  </si>
  <si>
    <t xml:space="preserve">65%</t>
  </si>
  <si>
    <t xml:space="preserve">Where's the problem?</t>
  </si>
  <si>
    <t xml:space="preserve">The NRI at 30%, which breaks the 25% single-investor cap</t>
  </si>
  <si>
    <t xml:space="preserve">The resident Indian money, given 65% India exposure</t>
  </si>
  <si>
    <t xml:space="preserve">Nothing. SWAGAT-FIs are exempt from all contributor rules</t>
  </si>
  <si>
    <t xml:space="preserve">Both the NRI stake and the resident Indian money</t>
  </si>
  <si>
    <t xml:space="preserve">The per-investor and combined NRI/OCI/RI caps don't apply to SWAGAT-FIs. But one condition stays: resident Indian individuals can only invest through LRS, and only in global funds whose India exposure is below 50%. At 65%, this fund fails.</t>
  </si>
  <si>
    <t xml:space="preserve">The per-investor and combined caps are switched off for SWAGAT-FIs.</t>
  </si>
  <si>
    <t xml:space="preserve">The LRS condition for resident Indians still applies.</t>
  </si>
  <si>
    <t xml:space="preserve">Only the resident Indian money fails. The NRI stake is fine.</t>
  </si>
  <si>
    <t xml:space="preserve">SEBI circular, 16 Jan 2026 (SWAGAT-FI), para 3.1</t>
  </si>
  <si>
    <t xml:space="preserve">db. The provision mentioned at (b) above shall not apply to SWAGAT-FI FPI. However, it shall be subject to the provision that contribution of resident Indian individuals shall be made through the LRS notified by RBI and shall be in global funds whose Indian exposure is less than 50%.</t>
  </si>
  <si>
    <t xml:space="preserve">Circular 16 Jan 2026, para 3.1 (Master Circular Part A para 1(ii)(db))</t>
  </si>
  <si>
    <t xml:space="preserve">SWG/EVD/209</t>
  </si>
  <si>
    <t xml:space="preserve">US fund ticks every box itself</t>
  </si>
  <si>
    <t xml:space="preserve">US open-end mutual fund, SEC-registered</t>
  </si>
  <si>
    <t xml:space="preserve">Submitted</t>
  </si>
  <si>
    <t xml:space="preserve">SWAGAT letter with Yes for all five retail-fund conditions</t>
  </si>
  <si>
    <t xml:space="preserve">Prospectus</t>
  </si>
  <si>
    <t xml:space="preserve">Not provided</t>
  </si>
  <si>
    <t xml:space="preserve">Tag as SWAGAT-FI this week</t>
  </si>
  <si>
    <t xml:space="preserve">Can the DDP approve on this?</t>
  </si>
  <si>
    <t xml:space="preserve">Yes. The applicant's own declaration is enough</t>
  </si>
  <si>
    <t xml:space="preserve">No. The DDP needs evidence such as the prospectus</t>
  </si>
  <si>
    <t xml:space="preserve">Yes, because SEC registration proves retail status</t>
  </si>
  <si>
    <t xml:space="preserve">No. US funds can't be SWAGAT-FIs at all</t>
  </si>
  <si>
    <t xml:space="preserve">Where the home rules don't show a condition, the applicant must provide a certificate from its regulator or its own documents, such as the prospectus, with the relevant clauses marked. The DDP can't rely on a declaration alone. For US funds the SOP marks openness to retail investors as To Be Verified.</t>
  </si>
  <si>
    <t xml:space="preserve">The SOP specifically says the DDP can't rely on a mere declaration.</t>
  </si>
  <si>
    <t xml:space="preserve">SEC registration doesn't settle retail access. Some registered funds are sold only to accredited investors.</t>
  </si>
  <si>
    <t xml:space="preserve">US funds are covered in the SOP's Annex B. They can qualify with evidence.</t>
  </si>
  <si>
    <t xml:space="preserve">CDSSF SOP for SWAGAT-FI, 27 May 2026, Section 3 B.1(a)</t>
  </si>
  <si>
    <t xml:space="preserve">a. Indicative guidelines for qualifying as a SWAGAT-FI, wherever available under the applicable Acts/ Regulations and/ or on regulatory websites in the home jurisdiction of the funds, are provided in annexures to this SOP. Where such conditions are not evidenced in the above material, the FPI / FVCI should provide to their DDP the original or certified/ attested copy of the certificate/ document evidencing that the FPI/ FVCI meets the eligibility requirement, with the respective provisions clearly identified for verification by the DDP. Such certificate/ document shall be issued by the concerned regulator/ authority or shall form a part of constitutive documents of the FPI / FVCI (including the Prospectus / Information Memorandum (IM)/ Offer Document etc.). The DDP shall obtain sufficient supporting documentation in such cases and not rely on mere declaration by the FPI / FVCI, and the certification/ attestation shall be carried out as authorised in the Master Circular.</t>
  </si>
  <si>
    <t xml:space="preserve">SWAGAT SOP 27 May 2026, section 3 B.1(a); Annex B (USA)</t>
  </si>
  <si>
    <t xml:space="preserve">SWG/ELG/210</t>
  </si>
  <si>
    <t xml:space="preserve">Pension plan governed by statute only</t>
  </si>
  <si>
    <t xml:space="preserve">Retirement plan for state employees</t>
  </si>
  <si>
    <t xml:space="preserve">Licensing</t>
  </si>
  <si>
    <t xml:space="preserve">Not directly licensed by a regulator</t>
  </si>
  <si>
    <t xml:space="preserve">Oversight</t>
  </si>
  <si>
    <t xml:space="preserve">Set up under a statute that imposes supervision and compliance duties</t>
  </si>
  <si>
    <t xml:space="preserve">SWAGAT-FI as a pension fund</t>
  </si>
  <si>
    <t xml:space="preserve">Can it qualify?</t>
  </si>
  <si>
    <t xml:space="preserve">No. A pension fund must be directly licensed</t>
  </si>
  <si>
    <t xml:space="preserve">Yes. Statutory oversight is enough</t>
  </si>
  <si>
    <t xml:space="preserve">Only by registering as a Category II FPI</t>
  </si>
  <si>
    <t xml:space="preserve">Only if it's 100% owned by the government</t>
  </si>
  <si>
    <t xml:space="preserve">The SOP's pension route includes plans governed or recognised by a statutory, regulatory or tax authority. A plan that isn't directly licensed can still qualify if it operates under a law and is subject to that law's oversight and compliance duties.</t>
  </si>
  <si>
    <t xml:space="preserve">The SOP expressly covers plans that aren't directly licensed but are overseen under a statute.</t>
  </si>
  <si>
    <t xml:space="preserve">The category doesn't decide SWAGAT eligibility, and pension funds are usually Category I anyway.</t>
  </si>
  <si>
    <t xml:space="preserve">Government ownership is one way in. A plan governed by statute also qualifies as a pension fund.</t>
  </si>
  <si>
    <t xml:space="preserve">CDSSF SOP for SWAGAT-FI, 27 May 2026, Section 8, row 4(iv)</t>
  </si>
  <si>
    <t xml:space="preserve">Pension funds governed / recognised by a statutory authority / regulatory body / tax authority for overall supervision and regulation of pensions in the jurisdiction / state. Even where a pension fund is not subject to direct licensing or regulation in its home jurisdiction, in case it operates under— and is subject to oversight and compliance obligations imposed by—an applicable Act/statute, it may be considered eligible for purpose for SWAGAT-FI as a pension fund.</t>
  </si>
  <si>
    <t xml:space="preserve">SWAGAT SOP 27 May 2026, section 8, row 4(iv); Annex C</t>
  </si>
  <si>
    <t xml:space="preserve">SWG/FVC/211</t>
  </si>
  <si>
    <t xml:space="preserve">SWAGAT FPI adds an FVCI licence</t>
  </si>
  <si>
    <t xml:space="preserve">Registered SWAGAT-FI, a government-related investor</t>
  </si>
  <si>
    <t xml:space="preserve">Also register as an FVCI</t>
  </si>
  <si>
    <t xml:space="preserve">Documents offered</t>
  </si>
  <si>
    <t xml:space="preserve">Asks what extra papers are needed</t>
  </si>
  <si>
    <t xml:space="preserve">FPI renewal</t>
  </si>
  <si>
    <t xml:space="preserve">2036</t>
  </si>
  <si>
    <t xml:space="preserve">What's needed?</t>
  </si>
  <si>
    <t xml:space="preserve">A full FVCI application with fresh KYC</t>
  </si>
  <si>
    <t xml:space="preserve">No further documents; renewal dates align</t>
  </si>
  <si>
    <t xml:space="preserve">A separate DDP for the FVCI registration</t>
  </si>
  <si>
    <t xml:space="preserve">SEBI's approval under the FVCI Regulations</t>
  </si>
  <si>
    <t xml:space="preserve">A SWAGAT-FI that holds or is applying for FPI registration can also register as an FVCI without further documentation. The FVCI renewal date lines up with the FPI's.</t>
  </si>
  <si>
    <t xml:space="preserve">The SOP says a SWAGAT-FI can add FVCI without further documentation.</t>
  </si>
  <si>
    <t xml:space="preserve">The same DDP handles it, and the depositories keep one combined account.</t>
  </si>
  <si>
    <t xml:space="preserve">No separate SEBI approval step is described. The DDP handles the registration.</t>
  </si>
  <si>
    <t xml:space="preserve">CDSSF SOP for SWAGAT-FI, 27 May 2026, Section 3 A.3</t>
  </si>
  <si>
    <t xml:space="preserve">3. SWAGAT-FI applying or already registered as FPIs shall also have the option to register as FVCIs, without the need for any further documentation.</t>
  </si>
  <si>
    <t xml:space="preserve">SWAGAT SOP, section 3 A.3 and B.6(b)</t>
  </si>
  <si>
    <t xml:space="preserve">GSF/REN/301</t>
  </si>
  <si>
    <t xml:space="preserve">GS</t>
  </si>
  <si>
    <t xml:space="preserve">G-Sec-only fund comes up for renewal</t>
  </si>
  <si>
    <t xml:space="preserve">Invests only in Government Securities</t>
  </si>
  <si>
    <t xml:space="preserve">3-year block ends next month</t>
  </si>
  <si>
    <t xml:space="preserve">Changes since last block</t>
  </si>
  <si>
    <t xml:space="preserve">Client asks</t>
  </si>
  <si>
    <t xml:space="preserve">What do we send?</t>
  </si>
  <si>
    <t xml:space="preserve">What does it need to continue?</t>
  </si>
  <si>
    <t xml:space="preserve">Only the renewal fee</t>
  </si>
  <si>
    <t xml:space="preserve">The fee plus a no-change declaration</t>
  </si>
  <si>
    <t xml:space="preserve">A full KYC refresh plus the fee</t>
  </si>
  <si>
    <t xml:space="preserve">Nothing. GS-FPI registration is permanent</t>
  </si>
  <si>
    <t xml:space="preserve">Under the amended Master Circular, FPIs continue by paying fees and reporting any changes. GS-FPIs only pay the fee; the duty to report changes at renewal doesn't apply to them.</t>
  </si>
  <si>
    <t xml:space="preserve">The no-change declaration applies to regular FPIs. GS-FPIs don't have to report changes at renewal.</t>
  </si>
  <si>
    <t xml:space="preserve">For GS-FPIs, renewal is just the fee.</t>
  </si>
  <si>
    <t xml:space="preserve">The fee is still due for every 3-year block.</t>
  </si>
  <si>
    <t xml:space="preserve">SEBI circular, 16 Jan 2026 (SWAGAT-FI), para 3.3</t>
  </si>
  <si>
    <t xml:space="preserve">i. FPIs who wish to continue with their registration for the subsequent block of three years (10 years in case of SWAGAT-FI), should pay the fees to their DDPs and inform change in information, if any, as submitted earlier. However, GS-FPIs shall only pay the fees to their DDPs. The requirement of informing any change in information shall not be applicable to GS-FPIs.</t>
  </si>
  <si>
    <t xml:space="preserve">Circular 16 Jan 2026, para 3.3 (Master Circular Part A para 4(i))</t>
  </si>
  <si>
    <t xml:space="preserve">GSF/ONB/302</t>
  </si>
  <si>
    <t xml:space="preserve">New G-Sec investor and its group details</t>
  </si>
  <si>
    <t xml:space="preserve">Fund investing only in G-Secs</t>
  </si>
  <si>
    <t xml:space="preserve">Route</t>
  </si>
  <si>
    <t xml:space="preserve">General route (not FAR)</t>
  </si>
  <si>
    <t xml:space="preserve">Date</t>
  </si>
  <si>
    <t xml:space="preserve">October 2026</t>
  </si>
  <si>
    <t xml:space="preserve">Do we need investor-group details?</t>
  </si>
  <si>
    <t xml:space="preserve">What's the position now?</t>
  </si>
  <si>
    <t xml:space="preserve">Full investor-group details are still required</t>
  </si>
  <si>
    <t xml:space="preserve">Not required, whatever the route</t>
  </si>
  <si>
    <t xml:space="preserve">Only required for investors using FAR</t>
  </si>
  <si>
    <t xml:space="preserve">Required, unless SEBI approves a waiver</t>
  </si>
  <si>
    <t xml:space="preserve">The September 2025 circular exempted GS-FPIs investing under the Fully Accessible Route from giving investor-group details. Reports say a 7 September 2026 circular extended this to all FPIs investing only in G-Secs, after RBI dropped the general route's concentration limit. Check the circular itself before relying on this.</t>
  </si>
  <si>
    <t xml:space="preserve">That was the rule for general-route investors before September 2026.</t>
  </si>
  <si>
    <t xml:space="preserve">It's the other way round: FAR investors were exempted first, in 2025.</t>
  </si>
  <si>
    <t xml:space="preserve">The exemption comes from the circular itself. There's no case-by-case approval.</t>
  </si>
  <si>
    <t xml:space="preserve">SEBI circulars 10 Sep 2025 and 7 Sep 2026, as reported</t>
  </si>
  <si>
    <t xml:space="preserve">Y</t>
  </si>
  <si>
    <t xml:space="preserve">GSF/CNV/303</t>
  </si>
  <si>
    <t xml:space="preserve">GS-FPI wants to buy listed equity</t>
  </si>
  <si>
    <t xml:space="preserve">GS-FPI registered under the lighter regime</t>
  </si>
  <si>
    <t xml:space="preserve">Start buying NSE-listed equity next week</t>
  </si>
  <si>
    <t xml:space="preserve">On file</t>
  </si>
  <si>
    <t xml:space="preserve">No investor-group details</t>
  </si>
  <si>
    <t xml:space="preserve">Just enable the equity account</t>
  </si>
  <si>
    <t xml:space="preserve">Nothing. Just enable equity trading on the account</t>
  </si>
  <si>
    <t xml:space="preserve">Move to regular FPI status and file full details first</t>
  </si>
  <si>
    <t xml:space="preserve">Open a second FPI registration just for the new equity book</t>
  </si>
  <si>
    <t xml:space="preserve">Get RBI's approval for the change in investments</t>
  </si>
  <si>
    <t xml:space="preserve">The GS-FPI relaxations depend on the FPI investing only in Government Securities. Before it invests in anything else, it has to meet the regular FPI requirements through its DDP, including the investor-group details needed to monitor the 10% limit. Confirm the exact steps in the September 2025 circular.</t>
  </si>
  <si>
    <t xml:space="preserve">Equity needs the investor-group details GS-FPIs never filed, so the 10% limit can be monitored.</t>
  </si>
  <si>
    <t xml:space="preserve">The same registration moves to regular status. No second registration is needed.</t>
  </si>
  <si>
    <t xml:space="preserve">This sits within SEBI's registration framework. RBI approval isn't the gate.</t>
  </si>
  <si>
    <t xml:space="preserve">SEBI circular 10 Sep 2025, as summarised by secondary sources</t>
  </si>
  <si>
    <t xml:space="preserve">GSF/NRI/304</t>
  </si>
  <si>
    <t xml:space="preserve">NRI-heavy fund buying only G-Secs</t>
  </si>
  <si>
    <t xml:space="preserve">GS-FPI</t>
  </si>
  <si>
    <t xml:space="preserve">35% of the corpus</t>
  </si>
  <si>
    <t xml:space="preserve">Individuals via LRS</t>
  </si>
  <si>
    <t xml:space="preserve">30%</t>
  </si>
  <si>
    <t xml:space="preserve">Is there a contributor problem?</t>
  </si>
  <si>
    <t xml:space="preserve">Yes. The largest NRI is above the 25% cap</t>
  </si>
  <si>
    <t xml:space="preserve">No. Both contributor conditions are met</t>
  </si>
  <si>
    <t xml:space="preserve">Yes. Resident Indians can't invest in FPIs at all</t>
  </si>
  <si>
    <t xml:space="preserve">Yes. Both of the contributor conditions fail</t>
  </si>
  <si>
    <t xml:space="preserve">The SWAGAT circular adds sub-para (db) next to an existing (da) for GS-FPIs, and both follow the same pattern. The NRI/OCI/RI percentage caps don't apply, but resident Indian individuals can only invest through LRS, in global funds with India exposure below 50%. This fund passes. Check the wording of (da) in the September 2025 circular.</t>
  </si>
  <si>
    <t xml:space="preserve">The percentage caps are relaxed for GS-FPIs.</t>
  </si>
  <si>
    <t xml:space="preserve">Resident Indian individuals can invest through LRS in funds with India exposure below 50%.</t>
  </si>
  <si>
    <t xml:space="preserve">Neither condition fails here.</t>
  </si>
  <si>
    <t xml:space="preserve">Master Circular Part A para 1(ii)(da), as referenced in circular 16 Jan 2026</t>
  </si>
  <si>
    <t xml:space="preserve">ONB/IFS/121</t>
  </si>
  <si>
    <t xml:space="preserve">GIFT City fund and the residency test</t>
  </si>
  <si>
    <t xml:space="preserve">Saffron Bridge Fund, a Category III AIF set up in GIFT IFSC and registered with IFSCA</t>
  </si>
  <si>
    <t xml:space="preserve">DDP's concern</t>
  </si>
  <si>
    <t xml:space="preserve">GIFT City is in India, so the applicant looks resident</t>
  </si>
  <si>
    <t xml:space="preserve">Home-regulator check</t>
  </si>
  <si>
    <t xml:space="preserve">IOSCO test not run</t>
  </si>
  <si>
    <t xml:space="preserve">FPI registration</t>
  </si>
  <si>
    <t xml:space="preserve">How should the DDP treat the residency and home-regulator tests?</t>
  </si>
  <si>
    <t xml:space="preserve">Reject it, since an Indian-resident entity can't be an FPI</t>
  </si>
  <si>
    <t xml:space="preserve">Skip them, since Reg 4's proviso switches them off for IFSC</t>
  </si>
  <si>
    <t xml:space="preserve">Register it as Category II only, since IFSCA isn't a foreign regulator</t>
  </si>
  <si>
    <t xml:space="preserve">Ask SEBI for a one-off relaxation under Reg 43B</t>
  </si>
  <si>
    <t xml:space="preserve">The proviso to Reg 4 says clauses (a), (d) and (e) don't apply to an applicant incorporated or set up in an IFSC. Those are the resident-Indian bar, the IOSCO or MoU jurisdiction test, and the BIS test for banks. The Explanation to Reg 5 also deems IFSC applicants appropriately regulated. The other tests, such as sanctions and fit and proper, still apply.</t>
  </si>
  <si>
    <t xml:space="preserve">The residency bar in Reg 4(a) is one of the clauses the proviso switches off for IFSC applicants.</t>
  </si>
  <si>
    <t xml:space="preserve">IFSC applicants are deemed appropriately regulated, so they aren't pushed into Category II for that reason.</t>
  </si>
  <si>
    <t xml:space="preserve">No relaxation is needed. The carve-out is already in the regulation.</t>
  </si>
  <si>
    <t xml:space="preserve">SEBI (FPI) Regulations, 2019, proviso to Regulation 4</t>
  </si>
  <si>
    <t xml:space="preserve">Provided that clause (a), (d) and (e) shall not apply to an applicant incorporated or established in an International Financial Services Centre.</t>
  </si>
  <si>
    <t xml:space="preserve">SEBI (FPI) Regulations, 2019, Explanation to Regulation 5</t>
  </si>
  <si>
    <t xml:space="preserve">Explanation: An applicant incorporated or established in an International Financial Services Centre shall be deemed to be appropriately regulated.</t>
  </si>
  <si>
    <t xml:space="preserve">FPI Regs 2019, proviso to Reg 4; Explanation to Reg 5</t>
  </si>
  <si>
    <t xml:space="preserve">ONB/IFS/122</t>
  </si>
  <si>
    <t xml:space="preserve">Indian sponsor's stake in a GIFT City fund</t>
  </si>
  <si>
    <t xml:space="preserve">Category II AIF in GIFT IFSC, regulated by IFSCA</t>
  </si>
  <si>
    <t xml:space="preserve">Corpus</t>
  </si>
  <si>
    <t xml:space="preserve">US$40 million</t>
  </si>
  <si>
    <t xml:space="preserve">Sponsor</t>
  </si>
  <si>
    <t xml:space="preserve">An Indian asset manager (a resident, not an individual)</t>
  </si>
  <si>
    <t xml:space="preserve">Sponsor commitment</t>
  </si>
  <si>
    <t xml:space="preserve">3% of the corpus, or US$1.2 million</t>
  </si>
  <si>
    <t xml:space="preserve">Is the sponsor's contribution within limits?</t>
  </si>
  <si>
    <t xml:space="preserve">Yes. A resident Indian can hold up to 25%</t>
  </si>
  <si>
    <t xml:space="preserve">No. The cap is the lower of 2.5% or US$750,000</t>
  </si>
  <si>
    <t xml:space="preserve">Yes. Sponsors of IFSC funds have no cap</t>
  </si>
  <si>
    <t xml:space="preserve">No. Resident non-individuals can never be constituents</t>
  </si>
  <si>
    <t xml:space="preserve">Reg 4(c) lets a resident Indian non-individual contribute to an IFSC AIF as its sponsor or manager. For a Category I or II AIF the cap is the lower of 2.5% of corpus or US$750,000. For Category III it's the lower of 5% or US$1.5 million. Here 2.5% is US$1 million, so the US$750,000 limit applies, and US$1.2 million breaches it.</t>
  </si>
  <si>
    <t xml:space="preserve">25% is the single-investor cap for NRIs, OCIs and resident Indian individuals, not for an Indian sponsor entity.</t>
  </si>
  <si>
    <t xml:space="preserve">There is a cap, set by the second proviso to Reg 4(c).</t>
  </si>
  <si>
    <t xml:space="preserve">They can, in two cases: as the eligible fund manager of a Section 9A fund, or as the sponsor or manager of an IFSC AIF within the cap.</t>
  </si>
  <si>
    <t xml:space="preserve">SEBI (FPI) Regulations, 2019, Regulation 4(c), second proviso</t>
  </si>
  <si>
    <t xml:space="preserve">Provided further that resident Indian, other than individuals, may also be constituents of the applicant, subject to the following conditions, namely – the applicant is an Alternative Investment Fund setup in the International Financial Services Centres and regulated by the International Financial Services Centres Authority; such resident Indian, other than individuals, is a Sponsor or Manager of the applicant; and the contribution of such resident Indian, other than individuals, shall be up to (a) 2.5% of the corpus of the applicant or US $ 7,50,000 (whichever is lower), in case the applicant is a Category I or Category II Alternative Investment Fund; or (b) 5% of the corpus of the applicant or US $ 1.5 million (whichever is lower), in case the applicant is a Category III Alternative Investment Fund;</t>
  </si>
  <si>
    <t xml:space="preserve">FPI Regs 2019, Reg 4(c), first and second provisos</t>
  </si>
  <si>
    <t xml:space="preserve">ONB/CAT/123</t>
  </si>
  <si>
    <t xml:space="preserve">Sovereign fund's 80%-owned subsidiary</t>
  </si>
  <si>
    <t xml:space="preserve">Kestrel Holdings, an investment company</t>
  </si>
  <si>
    <t xml:space="preserve">Ownership</t>
  </si>
  <si>
    <t xml:space="preserve">80% sovereign wealth fund, 20% a private bank</t>
  </si>
  <si>
    <t xml:space="preserve">Regulated</t>
  </si>
  <si>
    <t xml:space="preserve">No</t>
  </si>
  <si>
    <t xml:space="preserve">Which category fits?</t>
  </si>
  <si>
    <t xml:space="preserve">Category I, as a government-related investor</t>
  </si>
  <si>
    <t xml:space="preserve">Category II, as an unregulated corporate body</t>
  </si>
  <si>
    <t xml:space="preserve">Category I, but only if 100% government owned</t>
  </si>
  <si>
    <t xml:space="preserve">Not eligible, because it's partly private</t>
  </si>
  <si>
    <t xml:space="preserve">Reg 5(a)(i) covers government and government-related investors. That includes entities they control, or own at least 75% of, directly or indirectly. 80% clears the test.</t>
  </si>
  <si>
    <t xml:space="preserve">Corporate bodies usually fall in Category II, but 75%+ government ownership moves this one into Category I.</t>
  </si>
  <si>
    <t xml:space="preserve">The test is control or at least 75% ownership, not 100%.</t>
  </si>
  <si>
    <t xml:space="preserve">Mixed ownership is fine as long as the 75% or control test is met.</t>
  </si>
  <si>
    <t xml:space="preserve">SEBI (FPI) Regulations, 2019, Regulation 5(a)(i)</t>
  </si>
  <si>
    <t xml:space="preserve">(i) Government and Government related investors such as central banks, sovereign wealth funds, international or multilateral organizations or agencies including entities controlled or at least 75% directly or indirectly owned by such Government and Government related investor(s);</t>
  </si>
  <si>
    <t xml:space="preserve">FPI Regs 2019, Reg 5(a)(i)</t>
  </si>
  <si>
    <t xml:space="preserve">ONB/TAT/124</t>
  </si>
  <si>
    <t xml:space="preserve">How long can the DDP take?</t>
  </si>
  <si>
    <t xml:space="preserve">Application received</t>
  </si>
  <si>
    <t xml:space="preserve">2 March</t>
  </si>
  <si>
    <t xml:space="preserve">DDP asked for more documents</t>
  </si>
  <si>
    <t xml:space="preserve">10 March</t>
  </si>
  <si>
    <t xml:space="preserve">Documents received</t>
  </si>
  <si>
    <t xml:space="preserve">25 March</t>
  </si>
  <si>
    <t xml:space="preserve">When is the latest we get a decision?</t>
  </si>
  <si>
    <t xml:space="preserve">By when must the DDP decide?</t>
  </si>
  <si>
    <t xml:space="preserve">30 days from 2 March</t>
  </si>
  <si>
    <t xml:space="preserve">30 days from 25 March</t>
  </si>
  <si>
    <t xml:space="preserve">7 working days from 25 March</t>
  </si>
  <si>
    <t xml:space="preserve">There is no deadline</t>
  </si>
  <si>
    <t xml:space="preserve">Under Reg 7(2), the DDP should decide as soon as possible. The latest is 30 days after it receives the application, or after the further information it asked for under Reg 6 arrives, whichever is later. Here that means 30 days from 25 March.</t>
  </si>
  <si>
    <t xml:space="preserve">The clock runs from whichever date is later, and the requested documents arrived later.</t>
  </si>
  <si>
    <t xml:space="preserve">7 working days is the FPI's deadline for reporting changes, not the DDP's decision deadline.</t>
  </si>
  <si>
    <t xml:space="preserve">Reg 7(2) sets a 30-day outer limit.</t>
  </si>
  <si>
    <t xml:space="preserve">SEBI (FPI) Regulations, 2019, Regulation 7(2)</t>
  </si>
  <si>
    <t xml:space="preserve">(2) The designated depository participant shall endeavour to dispose of the application for grant of certificate of registration as soon as possible but not later than thirty days after receipt of application by the designated depository participant, or after the information called for under regulation 6 has been furnished; whichever is later.</t>
  </si>
  <si>
    <t xml:space="preserve">FPI Regs 2019, Reg 6(1), Reg 7(2)</t>
  </si>
  <si>
    <t xml:space="preserve">ONB/VAL/125</t>
  </si>
  <si>
    <t xml:space="preserve">Does the FPI certificate expire?</t>
  </si>
  <si>
    <t xml:space="preserve">Category I pension fund, registered 2023</t>
  </si>
  <si>
    <t xml:space="preserve">Client says</t>
  </si>
  <si>
    <t xml:space="preserve">"Our certificate expires in 2026, so we need a new one"</t>
  </si>
  <si>
    <t xml:space="preserve">Fees</t>
  </si>
  <si>
    <t xml:space="preserve">Paid for the current 3-year block</t>
  </si>
  <si>
    <t xml:space="preserve">Certificate wording</t>
  </si>
  <si>
    <t xml:space="preserve">Valid till suspended, cancelled or surrendered</t>
  </si>
  <si>
    <t xml:space="preserve">What's correct?</t>
  </si>
  <si>
    <t xml:space="preserve">The certificate expires every three years and is reissued</t>
  </si>
  <si>
    <t xml:space="preserve">It's permanent, but fees are due for every three-year block</t>
  </si>
  <si>
    <t xml:space="preserve">It expires after 10 years</t>
  </si>
  <si>
    <t xml:space="preserve">It's permanent and no further fees are due</t>
  </si>
  <si>
    <t xml:space="preserve">Reg 9(1) makes registration permanent unless SEBI suspends or cancels it, or the FPI surrenders it. Separately, the Second Schedule makes fees payable for every three-year block, and a registration stops being valid beyond the period fees cover.</t>
  </si>
  <si>
    <t xml:space="preserve">There's no reissue. The certificate stands, and the FPI pays continuance fees.</t>
  </si>
  <si>
    <t xml:space="preserve">10-year blocks apply only to SWAGAT-FIs.</t>
  </si>
  <si>
    <t xml:space="preserve">Fees are still due every three years to keep the registration valid.</t>
  </si>
  <si>
    <t xml:space="preserve">SEBI (FPI) Regulations, 2019, Regulation 9(1)</t>
  </si>
  <si>
    <t xml:space="preserve">9. (1) Subject to the compliance with the provisions of the Act, these regulations and the circulars issued thereunder, the registration granted by the designated depository participant on behalf of the Board under these regulations shall be permanent unless suspended or cancelled by the Board or surrendered by the foreign portfolio investor.</t>
  </si>
  <si>
    <t xml:space="preserve">SEBI (FPI) Regulations, 2019, Second Schedule, Part A(2)</t>
  </si>
  <si>
    <t xml:space="preserve">(2) Foreign portfolio investor belonging to Category I and II shall pay registration fees for every block of three years, till the validity of its registration,</t>
  </si>
  <si>
    <t xml:space="preserve">FPI Regs 2019, Reg 9(1); First Schedule; Second Schedule Part A(2)</t>
  </si>
  <si>
    <t xml:space="preserve">EXT/SUR/126</t>
  </si>
  <si>
    <t xml:space="preserve">Fee unpaid, account already empty</t>
  </si>
  <si>
    <t xml:space="preserve">Category II fund that stopped investing</t>
  </si>
  <si>
    <t xml:space="preserve">No cash, securities or derivatives in India</t>
  </si>
  <si>
    <t xml:space="preserve">Renewal fee</t>
  </si>
  <si>
    <t xml:space="preserve">Not paid by the due date</t>
  </si>
  <si>
    <t xml:space="preserve">Client</t>
  </si>
  <si>
    <t xml:space="preserve">Not responding</t>
  </si>
  <si>
    <t xml:space="preserve">What happens to the registration?</t>
  </si>
  <si>
    <t xml:space="preserve">It stays active indefinitely until the client responds</t>
  </si>
  <si>
    <t xml:space="preserve">It's treated as surrendered, subject to SEBI's approval</t>
  </si>
  <si>
    <t xml:space="preserve">The DDP cancels the registration on the due date</t>
  </si>
  <si>
    <t xml:space="preserve">SEBI starts enforcement proceedings against it for non-payment</t>
  </si>
  <si>
    <t xml:space="preserve">Under Reg 9(3), an FPI that doesn't pay continuance fees by the due date and has no cash, securities or derivatives in India is treated as having applied for surrender. The DDP processes the surrender after getting SEBI's approval.</t>
  </si>
  <si>
    <t xml:space="preserve">Without the fee the registration stops being valid, and the rule treats it as surrendered.</t>
  </si>
  <si>
    <t xml:space="preserve">The DDP doesn't cancel registrations. It processes the surrender, and only with SEBI's approval.</t>
  </si>
  <si>
    <t xml:space="preserve">Unpaid fees with nothing held are handled as a surrender, not as a violation.</t>
  </si>
  <si>
    <t xml:space="preserve">SEBI (FPI) Regulations, 2019, Regulation 9(3)</t>
  </si>
  <si>
    <t xml:space="preserve">(3) When the foreign portfolio investor fails to pay the required fees for continuance of registration within the specified due date and such foreign portfolio investor does not have any cash or security or derivative position in India, such foreign portfolio investor shall be deemed to have applied for surrender of its registration and the designated depository participant of such foreign portfolio investor shall process the surrender after obtaining the approval from the Board.</t>
  </si>
  <si>
    <t xml:space="preserve">FPI Regs 2019, Reg 9(3)–(4)</t>
  </si>
  <si>
    <t xml:space="preserve">ONB/CAT/127</t>
  </si>
  <si>
    <t xml:space="preserve">Category II fund now qualifies for Category I</t>
  </si>
  <si>
    <t xml:space="preserve">Change</t>
  </si>
  <si>
    <t xml:space="preserve">Its manager is now registered as a Category I FPI and has given an undertaking</t>
  </si>
  <si>
    <t xml:space="preserve">Move to Category I</t>
  </si>
  <si>
    <t xml:space="preserve">How does it move?</t>
  </si>
  <si>
    <t xml:space="preserve">Automatically. The DDP switches it over</t>
  </si>
  <si>
    <t xml:space="preserve">It applies to its DDP and pays the fee</t>
  </si>
  <si>
    <t xml:space="preserve">It surrenders and registers again from scratch</t>
  </si>
  <si>
    <t xml:space="preserve">Only SEBI itself can recategorise an FPI</t>
  </si>
  <si>
    <t xml:space="preserve">An FPI that wants to move from Category II to Category I applies to its DDP with the required information and documents, and pays the applicable fee. The DDP recategorises the existing registration on SEBI's behalf.</t>
  </si>
  <si>
    <t xml:space="preserve">There's no automatic upgrade. The FPI has to request it.</t>
  </si>
  <si>
    <t xml:space="preserve">No surrender is needed. The existing registration is recategorised.</t>
  </si>
  <si>
    <t xml:space="preserve">The DDP handles recategorisation on SEBI's behalf.</t>
  </si>
  <si>
    <t xml:space="preserve">SEBI Operational Guidelines for FPIs and DDPs, Part A 1</t>
  </si>
  <si>
    <t xml:space="preserve">After the exercise of deemed re-categorisation as mentioned above, an FPI desirous to be re-categorized from Category II FPI to Category I, can request to DDP along with requisite information, documents and payment of applicable fees.</t>
  </si>
  <si>
    <t xml:space="preserve">Op. Guidelines Part A 1; FPI Regs 2019, Reg 5</t>
  </si>
  <si>
    <t xml:space="preserve">MON/CAT/128</t>
  </si>
  <si>
    <t xml:space="preserve">Category I fund loses its regulated status</t>
  </si>
  <si>
    <t xml:space="preserve">Category I regulated fund</t>
  </si>
  <si>
    <t xml:space="preserve">Its home licence lapses, so it's no longer appropriately regulated</t>
  </si>
  <si>
    <t xml:space="preserve">Now fits</t>
  </si>
  <si>
    <t xml:space="preserve">What's the process?</t>
  </si>
  <si>
    <t xml:space="preserve">Nothing changes until its next renewal</t>
  </si>
  <si>
    <t xml:space="preserve">Fresh buys are blocked until extra KYC; sales allowed</t>
  </si>
  <si>
    <t xml:space="preserve">It must sell all its Indian holdings within 5 trading days</t>
  </si>
  <si>
    <t xml:space="preserve">The DDP cancels the registration</t>
  </si>
  <si>
    <t xml:space="preserve">An FPI that stops meeting its category's requirements must promptly tell its DDP so it can be reclassified, and may need to provide extra KYC. The custodian blocks fresh purchases until that's done, but the FPI can keep selling. If it still holds securities 180 days after the block, it's referred to SEBI.</t>
  </si>
  <si>
    <t xml:space="preserve">Reclassification is prompt, not deferred to renewal.</t>
  </si>
  <si>
    <t xml:space="preserve">There's no forced sale. Selling stays open during the block.</t>
  </si>
  <si>
    <t xml:space="preserve">It's reclassified, not cancelled.</t>
  </si>
  <si>
    <t xml:space="preserve">SEBI Operational Guidelines for FPIs and DDPs, Part A 14</t>
  </si>
  <si>
    <t xml:space="preserve">If an FPI registered under a particular category/sub-category fails to comply with applicable eligibility requirements, it shall promptly notify this change to its DDP to be reclassified under appropriate category/sub-category. FPI may be required to provide to the DDP with additional KYC documents, as applicable. The concerned DDP / Custodian shall not allow (block) such FPI to make fresh purchases till additional KYC requirements (if any) are complied with. However, such FPI shall be allowed to continue to sell the securities already purchased by it. If such FPI continues to hold securities 180 days after blocking, such FPI shall be referred to SEBI for any further action.</t>
  </si>
  <si>
    <t xml:space="preserve">Op. Guidelines Part A 14; FPI Regs 2019, Reg 22(1)(c)</t>
  </si>
  <si>
    <t xml:space="preserve">DDP/APP/131</t>
  </si>
  <si>
    <t xml:space="preserve">III</t>
  </si>
  <si>
    <t xml:space="preserve">Custodian that isn't an AD Category-1 bank</t>
  </si>
  <si>
    <t xml:space="preserve">Indian custody firm seeking DDP approval</t>
  </si>
  <si>
    <t xml:space="preserve">Registered as</t>
  </si>
  <si>
    <t xml:space="preserve">Depository participant and custodian with SEBI</t>
  </si>
  <si>
    <t xml:space="preserve">Banking status</t>
  </si>
  <si>
    <t xml:space="preserve">Not an AD Category-1 bank</t>
  </si>
  <si>
    <t xml:space="preserve">Experience</t>
  </si>
  <si>
    <t xml:space="preserve">15 years of custody for foreign clients</t>
  </si>
  <si>
    <t xml:space="preserve">Can SEBI approve it as a DDP?</t>
  </si>
  <si>
    <t xml:space="preserve">No. Reg 11(1) requires AD Category-1 status, full stop</t>
  </si>
  <si>
    <t xml:space="preserve">Possibly, under Reg 11(2), with an AD Category-1 tie-up</t>
  </si>
  <si>
    <t xml:space="preserve">Yes. DP and custodian registration with SEBI is enough on its own</t>
  </si>
  <si>
    <t xml:space="preserve">Yes, as long as NSDL recommends the application</t>
  </si>
  <si>
    <t xml:space="preserve">Reg 11(1) sets the standard tests: registered DP, registered custodian, AD Category-1 bank, multinational presence, anti-money-laundering systems, and fit and proper. Reg 11(2) lets SEBI consider an entity with enough custody experience where approval helps develop the market. The entity must be registered as a participant and custodian and have a tie-up with an AD Category-1 bank.</t>
  </si>
  <si>
    <t xml:space="preserve">Reg 11(2) is an express exception to Reg 11(1).</t>
  </si>
  <si>
    <t xml:space="preserve">Under Reg 11(1) it would also need AD Category-1 status. Without that, only the Reg 11(2) route is open.</t>
  </si>
  <si>
    <t xml:space="preserve">The depository forwards the application with its recommendation, but SEBI decides on the regulation's tests.</t>
  </si>
  <si>
    <t xml:space="preserve">SEBI (FPI) Regulations, 2019, Regulation 11(2)</t>
  </si>
  <si>
    <t xml:space="preserve">(2) Notwithstanding anything contained in sub-regulation (1) of this regulation, the Board may consider an application from an entity, regulated in India or in its home jurisdiction, for grant of approval to act as designated depository participant, upon being satisfied that the applicant has sufficient experience in providing custodial services and that the grant of such approval is in the interest of the development of the securities market: Provided that such entity shall be registered with the Board as a participant and custodian, and shall have a tie up with Authorised Dealer Category-1 bank.</t>
  </si>
  <si>
    <t xml:space="preserve">FPI Regs 2019, Reg 11(1)–(2)</t>
  </si>
  <si>
    <t xml:space="preserve">DDP/APP/132</t>
  </si>
  <si>
    <t xml:space="preserve">Filing a DDP application</t>
  </si>
  <si>
    <t xml:space="preserve">Bank that is an NSDL participant, a SEBI custodian and an AD Category-1 bank</t>
  </si>
  <si>
    <t xml:space="preserve">Approval as a DDP</t>
  </si>
  <si>
    <t xml:space="preserve">Where to file and what to pay up front</t>
  </si>
  <si>
    <t xml:space="preserve">Status</t>
  </si>
  <si>
    <t xml:space="preserve">Systems ready</t>
  </si>
  <si>
    <t xml:space="preserve">File directly with SEBI and pay ₹5,00,000</t>
  </si>
  <si>
    <t xml:space="preserve">File through NSDL with a ₹10,000 application fee</t>
  </si>
  <si>
    <t xml:space="preserve">File with RBI, which consults SEBI</t>
  </si>
  <si>
    <t xml:space="preserve">File through an existing DDP, which sponsors it</t>
  </si>
  <si>
    <t xml:space="preserve">Under Reg 10(2)–(3), the application goes through the depository the applicant is a participant of, with a ₹10,000 application fee. The depository certifies eligibility and forwards it to SEBI within 30 days with its recommendation. The ₹5,00,000 approval fee is due when SEBI grants approval.</t>
  </si>
  <si>
    <t xml:space="preserve">₹5,00,000 is the approval fee, paid when approval is granted, and the application goes through the depository.</t>
  </si>
  <si>
    <t xml:space="preserve">DDP approval sits with SEBI under the FPI Regulations, not RBI.</t>
  </si>
  <si>
    <t xml:space="preserve">DDPs register FPIs. They don't sponsor other DDPs.</t>
  </si>
  <si>
    <t xml:space="preserve">SEBI (FPI) Regulations, 2019, Regulation 10(2)–(3)</t>
  </si>
  <si>
    <t xml:space="preserve">(2) An application for approval to act as a designated depository participant shall be made to the Board through a depository with which the applicant has an agreement to act as a participant and shall be accompanied by the application fee specified in Part B of the Second Schedule which shall be paid in the manner specified therein. (3) The depository shall forward the application to the Board, as early as possible, but not later than thirty days from the date of its receipt by the depository, along with its recommendations and after certifying that the participant has complied with the eligibility criteria as provided for in these regulations.</t>
  </si>
  <si>
    <t xml:space="preserve">FPI Regs 2019, Reg 10(2)–(3); Second Schedule Part B</t>
  </si>
  <si>
    <t xml:space="preserve">DDP/VAL/133</t>
  </si>
  <si>
    <t xml:space="preserve">SEBI wants to withdraw a DDP's approval</t>
  </si>
  <si>
    <t xml:space="preserve">DDP</t>
  </si>
  <si>
    <t xml:space="preserve">Approved in 2020</t>
  </si>
  <si>
    <t xml:space="preserve">Inspection finding</t>
  </si>
  <si>
    <t xml:space="preserve">Repeated breaches of FPI circulars</t>
  </si>
  <si>
    <t xml:space="preserve">SEBI view</t>
  </si>
  <si>
    <t xml:space="preserve">Approval should be withdrawn</t>
  </si>
  <si>
    <t xml:space="preserve">DDP argues</t>
  </si>
  <si>
    <t xml:space="preserve">Isn't our approval time-limited anyway?</t>
  </si>
  <si>
    <t xml:space="preserve">Which is correct?</t>
  </si>
  <si>
    <t xml:space="preserve">Approval lapses after five years, so SEBI can simply let it run out</t>
  </si>
  <si>
    <t xml:space="preserve">Approval is permanent; SEBI can withdraw it by order after a hearing</t>
  </si>
  <si>
    <t xml:space="preserve">SEBI can withdraw it immediately without a hearing</t>
  </si>
  <si>
    <t xml:space="preserve">Only RBI can withdraw a DDP's approval</t>
  </si>
  <si>
    <t xml:space="preserve">Reg 16 makes DDP approval permanent unless it is suspended, withdrawn or surrendered. Under Reg 17, if a DDP breaches its conditions or the securities laws, SEBI may suspend or withdraw approval by order, after giving the DDP a reasonable opportunity to be heard.</t>
  </si>
  <si>
    <t xml:space="preserve">DDP approval has no fixed term under Reg 16.</t>
  </si>
  <si>
    <t xml:space="preserve">Reg 17 requires a reasonable opportunity to be heard first.</t>
  </si>
  <si>
    <t xml:space="preserve">SEBI grants the approval, and only SEBI withdraws it.</t>
  </si>
  <si>
    <t xml:space="preserve">SEBI (FPI) Regulations, 2019, Regulation 16</t>
  </si>
  <si>
    <t xml:space="preserve">16. Subject to the compliance with the provisions of the Act, these regulations and the circulars issued thereunder, the approval granted by the Board under these regulations shall be permanent unless suspended or withdrawn by the Board or surrendered by the designated depository participant.</t>
  </si>
  <si>
    <t xml:space="preserve">SEBI (FPI) Regulations, 2019, Regulation 17</t>
  </si>
  <si>
    <t xml:space="preserve">the Board may, without prejudice to any action under the securities laws or directions, instructions or circulars issued thereunder, by an order suspend or withdraw such approval after providing the designated depository participant a reasonable opportunity of being heard.</t>
  </si>
  <si>
    <t xml:space="preserve">FPI Regs 2019, Reg 16–18</t>
  </si>
  <si>
    <t xml:space="preserve">DDP/REJ/134</t>
  </si>
  <si>
    <t xml:space="preserve">DDP applicant is turned down</t>
  </si>
  <si>
    <t xml:space="preserve">Proposed DDP</t>
  </si>
  <si>
    <t xml:space="preserve">SEBI received</t>
  </si>
  <si>
    <t xml:space="preserve">Application on 1 April</t>
  </si>
  <si>
    <t xml:space="preserve">Outcome</t>
  </si>
  <si>
    <t xml:space="preserve">Rejected in writing on 20 April, citing missing systems</t>
  </si>
  <si>
    <t xml:space="preserve">Applicant asks</t>
  </si>
  <si>
    <t xml:space="preserve">Is there any recourse?</t>
  </si>
  <si>
    <t xml:space="preserve">What can it do?</t>
  </si>
  <si>
    <t xml:space="preserve">Nothing. SEBI's rejection is final</t>
  </si>
  <si>
    <t xml:space="preserve">Appeal to the depository that forwarded it</t>
  </si>
  <si>
    <t xml:space="preserve">Wait one year and then reapply</t>
  </si>
  <si>
    <t xml:space="preserve">Under Reg 15, SEBI gives reasons for a rejection in writing, and the applicant can ask for reconsideration within 30 days. SEBI decides after a hearing. Before rejecting at all, Reg 14 gives the applicant a reasonable chance to fix deficiencies. Reg 13(2) asks SEBI to decide applications within 30 days.</t>
  </si>
  <si>
    <t xml:space="preserve">Reg 15(3) gives a 30-day reconsideration route.</t>
  </si>
  <si>
    <t xml:space="preserve">The depository only forwards the application. It has no appeal role.</t>
  </si>
  <si>
    <t xml:space="preserve">The regulations set no waiting period.</t>
  </si>
  <si>
    <t xml:space="preserve">SEBI (FPI) Regulations, 2019, Regulation 15(3)</t>
  </si>
  <si>
    <t xml:space="preserve">(3) The applicant, who is aggrieved by the decision of the Board under sub-regulation (1) may, within a period of thirty days from the date of receipt of communication under sub-regulation (2), apply to the Board for reconsideration of its decision.</t>
  </si>
  <si>
    <t xml:space="preserve">FPI Regs 2019, Reg 13(2), 14, 15</t>
  </si>
  <si>
    <t xml:space="preserve">INV/DLV/141</t>
  </si>
  <si>
    <t xml:space="preserve">Intraday trading in cash equity</t>
  </si>
  <si>
    <t xml:space="preserve">Buy and sell the same shares in one day, without delivery</t>
  </si>
  <si>
    <t xml:space="preserve">Segment</t>
  </si>
  <si>
    <t xml:space="preserve">Cash market</t>
  </si>
  <si>
    <t xml:space="preserve">Broker</t>
  </si>
  <si>
    <t xml:space="preserve">SEBI-registered</t>
  </si>
  <si>
    <t xml:space="preserve">Is this allowed?</t>
  </si>
  <si>
    <t xml:space="preserve">Yes, through a registered broker</t>
  </si>
  <si>
    <t xml:space="preserve">No. FPIs must take and give delivery</t>
  </si>
  <si>
    <t xml:space="preserve">Yes, for Category I only</t>
  </si>
  <si>
    <t xml:space="preserve">Yes, up to 10% of the company</t>
  </si>
  <si>
    <t xml:space="preserve">Under Reg 20(4)(a), FPIs deal in securities only by taking and giving delivery. The exceptions include exchange-traded derivatives, short selling under SEBI's framework, and market-making arrangements. Selling against purchases that haven't settled isn't allowed either.</t>
  </si>
  <si>
    <t xml:space="preserve">A registered broker is required, but that doesn't remove the delivery rule.</t>
  </si>
  <si>
    <t xml:space="preserve">The delivery rule applies to both categories.</t>
  </si>
  <si>
    <t xml:space="preserve">The 10% limit is about holding size, not delivery.</t>
  </si>
  <si>
    <t xml:space="preserve">SEBI (FPI) Regulations, 2019, Regulation 20(4)(a)</t>
  </si>
  <si>
    <t xml:space="preserve">(a) A foreign portfolio investor shall transact in the securities in India only on the basis of taking and giving delivery of securities purchased or sold;</t>
  </si>
  <si>
    <t xml:space="preserve">FPI Regs 2019, Reg 20(4)(a)–(b); Op. Guidelines Part C 5</t>
  </si>
  <si>
    <t xml:space="preserve">INV/BRK/142</t>
  </si>
  <si>
    <t xml:space="preserve">Tendering in a buyback without a broker</t>
  </si>
  <si>
    <t xml:space="preserve">Listed company runs a buyback under the SEBI Buy-back Regulations</t>
  </si>
  <si>
    <t xml:space="preserve">Tender shares directly</t>
  </si>
  <si>
    <t xml:space="preserve">Is a SEBI-registered broker required?</t>
  </si>
  <si>
    <t xml:space="preserve">Which is right?</t>
  </si>
  <si>
    <t xml:space="preserve">Yes. Every FPI deal goes through a registered broker</t>
  </si>
  <si>
    <t xml:space="preserve">No. Buyback sales are exempt from the broker rule</t>
  </si>
  <si>
    <t xml:space="preserve">Only Category II FPIs are exempt</t>
  </si>
  <si>
    <t xml:space="preserve">Buybacks aren't open to FPIs</t>
  </si>
  <si>
    <t xml:space="preserve">Reg 20(4)(c) requires FPIs to deal through SEBI-registered brokers, but Reg 20(4)(d) lists exceptions. They include G-Sec deals done as RBI specifies, open offers, delisting offers, buybacks, government disinvestment offers, corporate bonds, and transfers of rights entitlements.</t>
  </si>
  <si>
    <t xml:space="preserve">Reg 20(4)(d) lists specific exceptions, and buybacks are one of them.</t>
  </si>
  <si>
    <t xml:space="preserve">The exceptions apply to all FPIs.</t>
  </si>
  <si>
    <t xml:space="preserve">FPIs can tender. The regulation names buyback sales specifically.</t>
  </si>
  <si>
    <t xml:space="preserve">SEBI (FPI) Regulations, 2019, Regulation 20(4)(c)</t>
  </si>
  <si>
    <t xml:space="preserve">(c) The transaction involving dealing in securities by a foreign portfolio investor shall be only through stock brokers registered with the Board;</t>
  </si>
  <si>
    <t xml:space="preserve">SEBI (FPI) Regulations, 2019, Regulation 20(4)(d)(iv)</t>
  </si>
  <si>
    <t xml:space="preserve">(iv) sale of securities in accordance with the Securities and Exchange Board of India (Buy-back of Securities) Regulations, 2018;</t>
  </si>
  <si>
    <t xml:space="preserve">FPI Regs 2019, Reg 20(4)(c)–(d)</t>
  </si>
  <si>
    <t xml:space="preserve">INV/BEN/143</t>
  </si>
  <si>
    <t xml:space="preserve">Shares in the global custodian's name</t>
  </si>
  <si>
    <t xml:space="preserve">Global custodian wants</t>
  </si>
  <si>
    <t xml:space="preserve">Indian shares registered in its omnibus name</t>
  </si>
  <si>
    <t xml:space="preserve">Local custodian</t>
  </si>
  <si>
    <t xml:space="preserve">The FPI's DDP</t>
  </si>
  <si>
    <t xml:space="preserve">SEBI approval</t>
  </si>
  <si>
    <t xml:space="preserve">Can the shares be held that way?</t>
  </si>
  <si>
    <t xml:space="preserve">Yes. Omnibus holding is routine for global custodians</t>
  </si>
  <si>
    <t xml:space="preserve">No. They must be in the FPI's own name</t>
  </si>
  <si>
    <t xml:space="preserve">Yes, if the FPI gives the custodian a power of attorney</t>
  </si>
  <si>
    <t xml:space="preserve">Yes, but only for its Government Securities</t>
  </si>
  <si>
    <t xml:space="preserve">Under Reg 20(6), unless SEBI approves otherwise, securities are registered in the FPI's name as beneficial owner. FPIs also hold securities only in demat form, with narrow exceptions for older physical shares and rights entitlements.</t>
  </si>
  <si>
    <t xml:space="preserve">Omnibus holding isn't allowed in India without SEBI approval.</t>
  </si>
  <si>
    <t xml:space="preserve">A power of attorney lets the custodian act, but it doesn't change whose name the securities are in.</t>
  </si>
  <si>
    <t xml:space="preserve">Reg 20(6) has no G-Sec carve-out.</t>
  </si>
  <si>
    <t xml:space="preserve">SEBI (FPI) Regulations, 2019, Regulation 20(6)</t>
  </si>
  <si>
    <t xml:space="preserve">(6) Unless otherwise approved by the Board, securities shall be registered in the name of the foreign portfolio investor as a beneficial owner as defined in clause (a) of sub-section (1) of section 2 of the Depositories Act, 1996.</t>
  </si>
  <si>
    <t xml:space="preserve">FPI Regs 2019, Reg 20(4)(e), Reg 20(6)</t>
  </si>
  <si>
    <t xml:space="preserve">INV/CA/144</t>
  </si>
  <si>
    <t xml:space="preserve">Unlisted shares from a merger</t>
  </si>
  <si>
    <t xml:space="preserve">Category II fund holding listed shares of Company A</t>
  </si>
  <si>
    <t xml:space="preserve">Merger approved by the tribunal</t>
  </si>
  <si>
    <t xml:space="preserve">Result</t>
  </si>
  <si>
    <t xml:space="preserve">A's shareholders receive shares of unlisted Company B</t>
  </si>
  <si>
    <t xml:space="preserve">FPI asks</t>
  </si>
  <si>
    <t xml:space="preserve">Can we keep B's shares?</t>
  </si>
  <si>
    <t xml:space="preserve">How are B's shares treated?</t>
  </si>
  <si>
    <t xml:space="preserve">Not allowed. The FPI must sell before allotment</t>
  </si>
  <si>
    <t xml:space="preserve">It can hold and sell them, but they count as FDI</t>
  </si>
  <si>
    <t xml:space="preserve">They count as FPI investment like listed shares</t>
  </si>
  <si>
    <t xml:space="preserve">They must be transferred to a resident Indian buyer at once</t>
  </si>
  <si>
    <t xml:space="preserve">Reg 20(4)(d)(x) lets FPIs receive, hold and sell unlisted securities they get through involuntary corporate actions, such as an approved merger or demerger. Its proviso treats those unlisted holdings as foreign direct investment.</t>
  </si>
  <si>
    <t xml:space="preserve">Receiving shares through an involuntary corporate action is expressly allowed.</t>
  </si>
  <si>
    <t xml:space="preserve">The proviso treats unlisted holdings as FDI, not portfolio investment.</t>
  </si>
  <si>
    <t xml:space="preserve">There's no forced transfer. The FPI can hold and sell under FDI rules.</t>
  </si>
  <si>
    <t xml:space="preserve">SEBI (FPI) Regulations, 2019, Regulation 20(4)(d)(x)</t>
  </si>
  <si>
    <t xml:space="preserve">(x) transactions to receive, hold and sell unlisted securities as referred at regulation 20(2) and transactions in unlisted securities received through involuntary corporate actions including a scheme of a merger or demerger approved in accordance with the provisions of the Companies Act, 2013 as well as the applicable guidelines issued by the Board or pursuant to implementation of any resolution plan approved under the Insolvency and Bankruptcy Code, 2016 or in accordance with the guidelines issued by the Government of India or the Reserve Bank of India or any other regulator for a scheme of debt resolution: Provided that such unlisted holdings of the foreign portfolio investor shall be treated as Foreign Direct Investment;</t>
  </si>
  <si>
    <t xml:space="preserve">FPI Regs 2019, Reg 20(4)(d)(x) and proviso</t>
  </si>
  <si>
    <t xml:space="preserve">INV/ODI/145</t>
  </si>
  <si>
    <t xml:space="preserve">ODI holder wants to transfer to an affiliate</t>
  </si>
  <si>
    <t xml:space="preserve">ODI issuer</t>
  </si>
  <si>
    <t xml:space="preserve">Eligible subscriber, transferring to an affiliate</t>
  </si>
  <si>
    <t xml:space="preserve">Affiliate</t>
  </si>
  <si>
    <t xml:space="preserve">Eligible as Category I; not pre-approved</t>
  </si>
  <si>
    <t xml:space="preserve">Issuer</t>
  </si>
  <si>
    <t xml:space="preserve">Not yet asked</t>
  </si>
  <si>
    <t xml:space="preserve">Nothing. ODIs move freely between eligible persons</t>
  </si>
  <si>
    <t xml:space="preserve">The issuer's prior consent</t>
  </si>
  <si>
    <t xml:space="preserve">SEBI's approval of each transfer</t>
  </si>
  <si>
    <t xml:space="preserve">The DDP's consent</t>
  </si>
  <si>
    <t xml:space="preserve">Under Reg 21(2), an ODI can only be transferred to someone who meets the issuance conditions. The issuing FPI's prior consent is also needed, unless it has pre-approved the transferee. Issuers report all transfers, including those during the month, in their monthly ODI reports.</t>
  </si>
  <si>
    <t xml:space="preserve">The transferee must be eligible, and the issuer must also consent unless it pre-approved them.</t>
  </si>
  <si>
    <t xml:space="preserve">SEBI receives reports. It doesn't approve each transfer.</t>
  </si>
  <si>
    <t xml:space="preserve">The DDP has no consent role for ODI transfers.</t>
  </si>
  <si>
    <t xml:space="preserve">SEBI (FPI) Regulations, 2019, Regulation 21(2)</t>
  </si>
  <si>
    <t xml:space="preserve">(2) A foreign portfolio investor shall ensure that any transfer of offshore derivative instruments issued by or on behalf of it, is subject to the following conditions – (a) such offshore derivative instruments are transferred to persons subject to the fulfilment of sub-regulation (1); and (b) prior consent of the foreign portfolio investor is obtained for such transfer, except in cases, where the persons to whom the offshore derivative instruments are to be transferred, are pre-approved by the foreign portfolio investor.</t>
  </si>
  <si>
    <t xml:space="preserve">FPI Regs 2019, Reg 21(2); Op. Guidelines Part D 3(i)</t>
  </si>
  <si>
    <t xml:space="preserve">OBL/ENC/151</t>
  </si>
  <si>
    <t xml:space="preserve">Pledging Indian shares to a prime broker</t>
  </si>
  <si>
    <t xml:space="preserve">Category II hedge fund</t>
  </si>
  <si>
    <t xml:space="preserve">Pledge Indian shares to its offshore prime broker</t>
  </si>
  <si>
    <t xml:space="preserve">Purpose</t>
  </si>
  <si>
    <t xml:space="preserve">Financing</t>
  </si>
  <si>
    <t xml:space="preserve">Regulatory need</t>
  </si>
  <si>
    <t xml:space="preserve">Yes. FPIs can pledge their holdings freely</t>
  </si>
  <si>
    <t xml:space="preserve">No. Only regulatory encumbrances are allowed</t>
  </si>
  <si>
    <t xml:space="preserve">Yes, as long as the prime broker is regulated</t>
  </si>
  <si>
    <t xml:space="preserve">Yes, up to 10% of its Indian holdings</t>
  </si>
  <si>
    <t xml:space="preserve">Under Reg 22(1)(k), an FPI must keep its securities free from all encumbrances. Encumbrances created to meet statutory or regulatory requirements, such as margin obligations, don't count.</t>
  </si>
  <si>
    <t xml:space="preserve">Reg 22(1)(k) bans encumbrances unless they meet a statutory or regulatory requirement.</t>
  </si>
  <si>
    <t xml:space="preserve">The prime broker being regulated doesn't create an exception.</t>
  </si>
  <si>
    <t xml:space="preserve">There's no percentage allowance.</t>
  </si>
  <si>
    <t xml:space="preserve">SEBI (FPI) Regulations, 2019, Regulation 22(1)(k)</t>
  </si>
  <si>
    <t xml:space="preserve">(k) ensure that securities held by foreign portfolio investors are free from all encumbrances. Explanation – An encumbrance created to meet any statutory and regulatory requirements shall not be considered under this clause.</t>
  </si>
  <si>
    <t xml:space="preserve">FPI Regs 2019, Reg 22(1)(k) and Explanation</t>
  </si>
  <si>
    <t xml:space="preserve">OBL/RPT/152</t>
  </si>
  <si>
    <t xml:space="preserve">Overseas regulator fines the FPI</t>
  </si>
  <si>
    <t xml:space="preserve">Category I asset manager</t>
  </si>
  <si>
    <t xml:space="preserve">Home regulator imposes a penalty on 3 March</t>
  </si>
  <si>
    <t xml:space="preserve">Licence</t>
  </si>
  <si>
    <t xml:space="preserve">Unaffected</t>
  </si>
  <si>
    <t xml:space="preserve">When to tell the DDP and SEBI</t>
  </si>
  <si>
    <t xml:space="preserve">What's the deadline?</t>
  </si>
  <si>
    <t xml:space="preserve">At the next continuance of registration</t>
  </si>
  <si>
    <t xml:space="preserve">Within 7 working days</t>
  </si>
  <si>
    <t xml:space="preserve">Within 30 days of the penalty order</t>
  </si>
  <si>
    <t xml:space="preserve">Only if the licence is cancelled</t>
  </si>
  <si>
    <t xml:space="preserve">Under Reg 22(1)(e), the FPI tells SEBI and its DDP, as soon as possible and within 7 working days, about any penalty, pending litigation or proceedings, or inspection findings by an overseas regulator. The same deadline applies to false or misleading information and material changes. A past action doesn't automatically make the FPI ineligible.</t>
  </si>
  <si>
    <t xml:space="preserve">Waiting for continuance breaches the 7-working-day deadline.</t>
  </si>
  <si>
    <t xml:space="preserve">The deadline is 7 working days, not 30 days.</t>
  </si>
  <si>
    <t xml:space="preserve">Any penalty or proceeding must be reported, not just a cancellation.</t>
  </si>
  <si>
    <t xml:space="preserve">SEBI (FPI) Regulations, 2019, Regulation 22(1)(e)</t>
  </si>
  <si>
    <t xml:space="preserve">(e) as soon as possible but not later than seven working days, inform the Board and the designated depository participant, in case of any penalty, pending litigation or proceedings, findings of inspections or investigations for which action may have been taken or is in the process of being taken by an overseas regulator against it;</t>
  </si>
  <si>
    <t xml:space="preserve">FPI Regs 2019, Reg 22(1)(b), (c), (e); Op. Guidelines Part A 2(vi)</t>
  </si>
  <si>
    <t xml:space="preserve">OBL/DDP/153</t>
  </si>
  <si>
    <t xml:space="preserve">Register with one bank, keep custody at another</t>
  </si>
  <si>
    <t xml:space="preserve">Registration through DDP A, custody with Bank B</t>
  </si>
  <si>
    <t xml:space="preserve">Reason</t>
  </si>
  <si>
    <t xml:space="preserve">Bank B is cheaper</t>
  </si>
  <si>
    <t xml:space="preserve">Both banks</t>
  </si>
  <si>
    <t xml:space="preserve">Approved DDPs</t>
  </si>
  <si>
    <t xml:space="preserve">Can it split them?</t>
  </si>
  <si>
    <t xml:space="preserve">Yes. Any custodian bank will do</t>
  </si>
  <si>
    <t xml:space="preserve">No. They must be the same entity</t>
  </si>
  <si>
    <t xml:space="preserve">Yes, with SEBI's prior approval</t>
  </si>
  <si>
    <t xml:space="preserve">Yes, because both are approved DDPs</t>
  </si>
  <si>
    <t xml:space="preserve">Under Reg 24, the FPI's DDP and its custodian must be the same entity at all times. Before investing, the FPI or its global custodian signs a custody agreement with that DDP (Reg 25).</t>
  </si>
  <si>
    <t xml:space="preserve">Reg 24 requires one entity for both roles.</t>
  </si>
  <si>
    <t xml:space="preserve">Reg 24 has no approval route.</t>
  </si>
  <si>
    <t xml:space="preserve">Being approved DDPs doesn't let the roles be split between two of them.</t>
  </si>
  <si>
    <t xml:space="preserve">SEBI (FPI) Regulations, 2019, Regulation 24</t>
  </si>
  <si>
    <t xml:space="preserve">24. An applicant seeking registration as a foreign portfolio investor shall engage a designated depository participant to avail its services for obtaining a certificate of registration as foreign portfolio investor and at all times the designated depository participant and the custodian of the foreign portfolio investor shall be the same entity.</t>
  </si>
  <si>
    <t xml:space="preserve">FPI Regs 2019, Reg 24–25</t>
  </si>
  <si>
    <t xml:space="preserve">OBL/BNK/154</t>
  </si>
  <si>
    <t xml:space="preserve">Bank accounts before the first trade</t>
  </si>
  <si>
    <t xml:space="preserve">Newly registered Category II fund</t>
  </si>
  <si>
    <t xml:space="preserve">Done</t>
  </si>
  <si>
    <t xml:space="preserve">Registration, custody agreement, PAN</t>
  </si>
  <si>
    <t xml:space="preserve">Not done</t>
  </si>
  <si>
    <t xml:space="preserve">Bank accounts</t>
  </si>
  <si>
    <t xml:space="preserve">Buy shares tomorrow</t>
  </si>
  <si>
    <t xml:space="preserve">What's missing?</t>
  </si>
  <si>
    <t xml:space="preserve">Nothing. It can start trading tomorrow</t>
  </si>
  <si>
    <t xml:space="preserve">Foreign currency and SNRR bank accounts</t>
  </si>
  <si>
    <t xml:space="preserve">A separate RBI licence to invest in Indian securities</t>
  </si>
  <si>
    <t xml:space="preserve">A second PAN registered for the bank</t>
  </si>
  <si>
    <t xml:space="preserve">Under Reg 26, before investing, an FPI appoints a branch of an RBI-authorised bank to open a foreign currency account and a special non-resident rupee (SNRR) account. Reg 22(1)(f) separately requires a PAN.</t>
  </si>
  <si>
    <t xml:space="preserve">The bank accounts must exist before any investment.</t>
  </si>
  <si>
    <t xml:space="preserve">An FPI doesn't need a separate RBI licence.</t>
  </si>
  <si>
    <t xml:space="preserve">One PAN per FPI. The bank uses the same one.</t>
  </si>
  <si>
    <t xml:space="preserve">SEBI (FPI) Regulations, 2019, Regulation 26</t>
  </si>
  <si>
    <t xml:space="preserve">26. A foreign portfolio investor shall appoint a branch of a bank authorised by the Reserve Bank of India for opening a foreign currency denominated account and special non-resident rupee account before making any investments in India.</t>
  </si>
  <si>
    <t xml:space="preserve">FPI Regs 2019, Reg 26, Reg 22(1)(f)</t>
  </si>
  <si>
    <t xml:space="preserve">OBL/MED/155</t>
  </si>
  <si>
    <t xml:space="preserve">Portfolio manager recommends a stock on TV</t>
  </si>
  <si>
    <t xml:space="preserve">Its portfolio manager recommends an Indian stock on a business channel</t>
  </si>
  <si>
    <t xml:space="preserve">Fund position</t>
  </si>
  <si>
    <t xml:space="preserve">Long in that stock</t>
  </si>
  <si>
    <t xml:space="preserve">Disclosed on air</t>
  </si>
  <si>
    <t xml:space="preserve">Nothing</t>
  </si>
  <si>
    <t xml:space="preserve">What went wrong?</t>
  </si>
  <si>
    <t xml:space="preserve">Nothing. FPIs may comment on stocks freely</t>
  </si>
  <si>
    <t xml:space="preserve">The fund's long position wasn't disclosed</t>
  </si>
  <si>
    <t xml:space="preserve">FPI employees can't appear in the media</t>
  </si>
  <si>
    <t xml:space="preserve">Only the stock exchange needed to be told</t>
  </si>
  <si>
    <t xml:space="preserve">Under Reg 28, an FPI or its employees can't give investment advice about a security in public media without disclosing their interest, including long or short positions, at the time. An employee also discloses the interests of dependent family members and of the employer.</t>
  </si>
  <si>
    <t xml:space="preserve">Advice is allowed, but only with disclosure.</t>
  </si>
  <si>
    <t xml:space="preserve">Appearing is allowed. The rule is about disclosing interests.</t>
  </si>
  <si>
    <t xml:space="preserve">The disclosure goes to the audience at the time of the advice.</t>
  </si>
  <si>
    <t xml:space="preserve">SEBI (FPI) Regulations, 2019, Regulation 28(1)</t>
  </si>
  <si>
    <t xml:space="preserve">28. (1) A foreign portfolio investor, or any of its employees shall not render directly or indirectly any investment advice about any security in the publicly accessible media, whether real-time or otherwise, unless a disclosure of its interest including long or short position in the said security has been made, while rendering such advice.</t>
  </si>
  <si>
    <t xml:space="preserve">FPI Regs 2019, Reg 28</t>
  </si>
  <si>
    <t xml:space="preserve">OBL/REC/156</t>
  </si>
  <si>
    <t xml:space="preserve">Keeping records after surrender</t>
  </si>
  <si>
    <t xml:space="preserve">SEBI approved surrender on 1 August 2026</t>
  </si>
  <si>
    <t xml:space="preserve">Records</t>
  </si>
  <si>
    <t xml:space="preserve">Contract notes, bank statements, remittance accounts</t>
  </si>
  <si>
    <t xml:space="preserve">When can they be destroyed?</t>
  </si>
  <si>
    <t xml:space="preserve">What's the minimum retention?</t>
  </si>
  <si>
    <t xml:space="preserve">One year after the surrender</t>
  </si>
  <si>
    <t xml:space="preserve">Five years from SEBI's approval</t>
  </si>
  <si>
    <t xml:space="preserve">Eight years from the last trade</t>
  </si>
  <si>
    <t xml:space="preserve">They can go once surrender is approved</t>
  </si>
  <si>
    <t xml:space="preserve">Reg 29 lists the records an FPI keeps: remittance accounts, bank statements, contract notes and communications with intermediaries. Reg 30 says to keep them for at least five years from the date SEBI approves the surrender or cancellation. DDPs, by contrast, keep their records at all times (Reg 32(3)).</t>
  </si>
  <si>
    <t xml:space="preserve">The minimum is five years, not one.</t>
  </si>
  <si>
    <t xml:space="preserve">The clock starts from SEBI's approval of surrender or cancellation, and the period is five years.</t>
  </si>
  <si>
    <t xml:space="preserve">Records must be kept for five years after surrender.</t>
  </si>
  <si>
    <t xml:space="preserve">SEBI (FPI) Regulations, 2019, Regulation 30</t>
  </si>
  <si>
    <t xml:space="preserve">30. Subject to the provisions of any other law, for the time being in force, every foreign portfolio investor shall preserve the books of accounts, records and documents specified in regulation 29 for a minimum period of five years from the date of approval of the surrender or cancellation of registration by the Board.</t>
  </si>
  <si>
    <t xml:space="preserve">FPI Regs 2019, Reg 29–30, Reg 32(3)</t>
  </si>
  <si>
    <t xml:space="preserve">OBL/CO/157</t>
  </si>
  <si>
    <t xml:space="preserve">Individual FPI with no staff</t>
  </si>
  <si>
    <t xml:space="preserve">Category II individual investor</t>
  </si>
  <si>
    <t xml:space="preserve">Staff</t>
  </si>
  <si>
    <t xml:space="preserve">Do I need to appoint a compliance officer?</t>
  </si>
  <si>
    <t xml:space="preserve">Asks for the officer's name</t>
  </si>
  <si>
    <t xml:space="preserve">What's the rule?</t>
  </si>
  <si>
    <t xml:space="preserve">Yes. A separate compliance officer is mandatory</t>
  </si>
  <si>
    <t xml:space="preserve">No. The individual is responsible</t>
  </si>
  <si>
    <t xml:space="preserve">The DDP acts as its compliance officer</t>
  </si>
  <si>
    <t xml:space="preserve">Only Category I FPIs need one</t>
  </si>
  <si>
    <t xml:space="preserve">Reg 27 requires every FPI to appoint a compliance officer, who reports any non-compliance straight to SEBI and the DDP. For an individual FPI, the individual carries that responsibility.</t>
  </si>
  <si>
    <t xml:space="preserve">The proviso to Reg 27(1) makes the individual responsible.</t>
  </si>
  <si>
    <t xml:space="preserve">The DDP has its own compliance officer under Reg 33. It doesn't act for the FPI.</t>
  </si>
  <si>
    <t xml:space="preserve">Reg 27 applies to every FPI.</t>
  </si>
  <si>
    <t xml:space="preserve">SEBI (FPI) Regulations, 2019, Regulation 27</t>
  </si>
  <si>
    <t xml:space="preserve">27. (1) Every foreign portfolio investor shall appoint a compliance officer who shall be responsible for monitoring the compliance of the Act, rules and regulations, notifications, guidelines and instructions issued by the designated depository participant or the Board or the Central Government: Provided that in case of a foreign portfolio investor who is an individual, such individual shall be responsible for monitoring the compliance of the Act, rules and regulations, notifications, guidelines and instructions issued by the designated depository participant or the Board or the Central Government. (2) The compliance officer shall immediately and independently report any non-compliance observed by him to the Board and the designated depository participant.</t>
  </si>
  <si>
    <t xml:space="preserve">FPI Regs 2019, Reg 27</t>
  </si>
  <si>
    <t xml:space="preserve">OBL/JNT/158</t>
  </si>
  <si>
    <t xml:space="preserve">Two holders, one account</t>
  </si>
  <si>
    <t xml:space="preserve">Applicants</t>
  </si>
  <si>
    <t xml:space="preserve">Two siblings, foreign nationals (not NRIs or OCIs)</t>
  </si>
  <si>
    <t xml:space="preserve">Want</t>
  </si>
  <si>
    <t xml:space="preserve">One joint FPI account</t>
  </si>
  <si>
    <t xml:space="preserve">Sibling A</t>
  </si>
  <si>
    <t xml:space="preserve">Meets FPI eligibility; KYC done</t>
  </si>
  <si>
    <t xml:space="preserve">Sibling B</t>
  </si>
  <si>
    <t xml:space="preserve">No KYC submitted</t>
  </si>
  <si>
    <t xml:space="preserve">Only the first holder has to qualify</t>
  </si>
  <si>
    <t xml:space="preserve">Each holder must qualify and do KYC</t>
  </si>
  <si>
    <t xml:space="preserve">Joint FPI accounts aren't allowed</t>
  </si>
  <si>
    <t xml:space="preserve">The second holder just signs a declaration</t>
  </si>
  <si>
    <t xml:space="preserve">Under Reg 22(2), each joint holder must meet the FPI requirements and is treated as holding a depository account as an FPI. Reg 31(1)(f) requires the DDP to do KYC on each joint holder.</t>
  </si>
  <si>
    <t xml:space="preserve">Every joint holder must qualify.</t>
  </si>
  <si>
    <t xml:space="preserve">Joint accounts are allowed when each holder meets the requirements.</t>
  </si>
  <si>
    <t xml:space="preserve">A declaration doesn't replace KYC.</t>
  </si>
  <si>
    <t xml:space="preserve">SEBI (FPI) Regulations, 2019, Regulation 22(2)</t>
  </si>
  <si>
    <t xml:space="preserve">(2) In case of jointly held depository accounts, each of the joint holders shall meet the requirements specified for foreign portfolio investor and each shall be deemed to be holding a depository account as a foreign portfolio investor.</t>
  </si>
  <si>
    <t xml:space="preserve">FPI Regs 2019, Reg 22(2), Reg 31(1)(f)</t>
  </si>
  <si>
    <t xml:space="preserve">DDO/RPT/161</t>
  </si>
  <si>
    <t xml:space="preserve">VI</t>
  </si>
  <si>
    <t xml:space="preserve">RBI fines the DDP itself</t>
  </si>
  <si>
    <t xml:space="preserve">A bank approved as a DDP</t>
  </si>
  <si>
    <t xml:space="preserve">RBI imposes a penalty on 12 May</t>
  </si>
  <si>
    <t xml:space="preserve">Who must be told, and by when?</t>
  </si>
  <si>
    <t xml:space="preserve">What's the duty?</t>
  </si>
  <si>
    <t xml:space="preserve">Tell SEBI only, in its next annual audit report</t>
  </si>
  <si>
    <t xml:space="preserve">SEBI, depositories and exchanges, in 2 working days</t>
  </si>
  <si>
    <t xml:space="preserve">Tell RBI only, since RBI imposed the penalty</t>
  </si>
  <si>
    <t xml:space="preserve">Write to all its FPI clients within 30 days of the order</t>
  </si>
  <si>
    <t xml:space="preserve">Under Reg 31(1)(g), a DDP reports any penalty, pending litigation, proceedings or adverse inspection findings by any regulator to SEBI, the depositories and the stock exchanges, as soon as possible and within two working days. Changes to its own information go to SEBI within two working days too. Compare FPIs, who get seven working days.</t>
  </si>
  <si>
    <t xml:space="preserve">The annual audit is too late, and the depositories and exchanges must be told as well.</t>
  </si>
  <si>
    <t xml:space="preserve">RBI already knows. The duty is to inform SEBI, the depositories and the exchanges.</t>
  </si>
  <si>
    <t xml:space="preserve">The regulation names SEBI, the depositories and the exchanges, not clients.</t>
  </si>
  <si>
    <t xml:space="preserve">SEBI (FPI) Regulations, 2019, Regulation 31(1)(g)</t>
  </si>
  <si>
    <t xml:space="preserve">(g) in case of any penalty, pending litigation or proceedings, findings of inspections or investigations for which action may have been taken or is in the process of being taken by any regulator against a designated depository participant, the designated depository participant shall bring such information as soon as possible but not later than two working days, to the attention of the Board, depositories and stock exchanges;</t>
  </si>
  <si>
    <t xml:space="preserve">FPI Regs 2019, Reg 31(1)(b), (c), (g)</t>
  </si>
  <si>
    <t xml:space="preserve">DDO/ACC/162</t>
  </si>
  <si>
    <t xml:space="preserve">A second NSDL account for a new strategy</t>
  </si>
  <si>
    <t xml:space="preserve">Category I fund with an NSDL account through its DDP</t>
  </si>
  <si>
    <t xml:space="preserve">Special scheme</t>
  </si>
  <si>
    <t xml:space="preserve">Not under the Voluntary Retention Route or any other scheme</t>
  </si>
  <si>
    <t xml:space="preserve">Same as the existing account</t>
  </si>
  <si>
    <t xml:space="preserve">Can the DDP open it?</t>
  </si>
  <si>
    <t xml:space="preserve">Yes. FPIs can open as many accounts as they need</t>
  </si>
  <si>
    <t xml:space="preserve">No. One per depository, unless for VRR-type schemes</t>
  </si>
  <si>
    <t xml:space="preserve">Yes, if it's opened through a different custodian</t>
  </si>
  <si>
    <t xml:space="preserve">Yes, once SEBI has been informed in writing beforehand</t>
  </si>
  <si>
    <t xml:space="preserve">Under Reg 31(2)(c), the DDP checks before opening an account that the applicant holds no other FPI account at that depository. Separate accounts are allowed for the Voluntary Retention Route or other schemes RBI or SEBI specify. An FPI may hold an account at both NSDL and CDSL, but with only one custodian.</t>
  </si>
  <si>
    <t xml:space="preserve">The rule is one account per depository.</t>
  </si>
  <si>
    <t xml:space="preserve">The DDP and the custodian must be the same entity, and the one-account rule applies anyway.</t>
  </si>
  <si>
    <t xml:space="preserve">There's no notification route around Reg 31(2)(c).</t>
  </si>
  <si>
    <t xml:space="preserve">SEBI (FPI) Regulations, 2019, Regulation 31(2)(c)</t>
  </si>
  <si>
    <t xml:space="preserve">(c) carry out necessary due diligence to ensure that no other depository account per depository is held by any of the concerned applicant as a foreign portfolio investor, before opening a depository account Provided that a foreign portfolio investor can open separate depository accounts for holding securities under the Voluntary Retention Route or any other scheme as specified by the Reserve Bank of India or the Board;</t>
  </si>
  <si>
    <t xml:space="preserve">FPI Regs 2019, Reg 31(2)(c); Op. Guidelines Part B 3</t>
  </si>
  <si>
    <t xml:space="preserve">DDO/AUD/163</t>
  </si>
  <si>
    <t xml:space="preserve">When the DDP's audit report is due</t>
  </si>
  <si>
    <t xml:space="preserve">Custodian bank approved as a DDP</t>
  </si>
  <si>
    <t xml:space="preserve">Report</t>
  </si>
  <si>
    <t xml:space="preserve">Internal-control audit for calendar year 2026</t>
  </si>
  <si>
    <t xml:space="preserve">Also due</t>
  </si>
  <si>
    <t xml:space="preserve">Action-taken report on the audit</t>
  </si>
  <si>
    <t xml:space="preserve">Deadlines</t>
  </si>
  <si>
    <t xml:space="preserve">What are the deadlines?</t>
  </si>
  <si>
    <t xml:space="preserve">Within 90 days after 2026 ends; action-taken reports quarterly</t>
  </si>
  <si>
    <t xml:space="preserve">By 31 December 2026, with the action-taken report filed once a year</t>
  </si>
  <si>
    <t xml:space="preserve">Within 30 days after 2026 ends; no action-taken report needed</t>
  </si>
  <si>
    <t xml:space="preserve">Only when SEBI inspects</t>
  </si>
  <si>
    <t xml:space="preserve">Under Reg 31(5)–(7), the DDP has an independent professional review its systems every year. It sends SEBI the internal-control audit report for a calendar year within 90 days after that year ends, so by about the end of March 2027 for 2026. Any action-taken report on the audit goes in every quarter.</t>
  </si>
  <si>
    <t xml:space="preserve">The report covers the full calendar year, so it can't be due before the year ends, and action-taken reports are quarterly.</t>
  </si>
  <si>
    <t xml:space="preserve">The window is 90 days, and action-taken reports are required.</t>
  </si>
  <si>
    <t xml:space="preserve">Annual reporting is mandatory, not triggered by inspections.</t>
  </si>
  <si>
    <t xml:space="preserve">SEBI (FPI) Regulations, 2019, Regulation 31(6)–(7)</t>
  </si>
  <si>
    <t xml:space="preserve">(6) The designated depository participant shall furnish to the Board annual audit reports on its internal control for a particular calendar year within ninety days of the next calendar year. (7) The designated depository participant shall submit the Action Taken Report, if any, on the audit report on a quarterly basis to the Board.</t>
  </si>
  <si>
    <t xml:space="preserve">FPI Regs 2019, Reg 31(5)–(7)</t>
  </si>
  <si>
    <t xml:space="preserve">DDO/GRP/164</t>
  </si>
  <si>
    <t xml:space="preserve">Investor-group box left blank</t>
  </si>
  <si>
    <t xml:space="preserve">New Category II fund</t>
  </si>
  <si>
    <t xml:space="preserve">Parent</t>
  </si>
  <si>
    <t xml:space="preserve">Owns 55% of two FPIs already registered</t>
  </si>
  <si>
    <t xml:space="preserve">Application</t>
  </si>
  <si>
    <t xml:space="preserve">Investor-group section left blank</t>
  </si>
  <si>
    <t xml:space="preserve">Ready to approve</t>
  </si>
  <si>
    <t xml:space="preserve">What must the DDP do?</t>
  </si>
  <si>
    <t xml:space="preserve">Approve it. Investor groups are the depositories' job</t>
  </si>
  <si>
    <t xml:space="preserve">Check for an investor group before registering it</t>
  </si>
  <si>
    <t xml:space="preserve">Ask the FPI to report its group within a year</t>
  </si>
  <si>
    <t xml:space="preserve">Nothing, unless the group crosses 10% somewhere</t>
  </si>
  <si>
    <t xml:space="preserve">Under Reg 31(2)(a), the DDP must find out at registration, and whenever it becomes relevant, whether the applicant is part of an investor group. Common ownership above 50% puts this one in a group. The FPI must keep its investor-group details accurate with the DDP (Reg 22(1)(l)), and the custodian reports group holdings to the depositories (Reg 25(2)(d)).</t>
  </si>
  <si>
    <t xml:space="preserve">The depositories monitor the group limit using the details the DDP collects at onboarding.</t>
  </si>
  <si>
    <t xml:space="preserve">The group is checked at registration, not a year later.</t>
  </si>
  <si>
    <t xml:space="preserve">The 10% limit applies to the group from day one, so the group must be known before any purchase.</t>
  </si>
  <si>
    <t xml:space="preserve">SEBI (FPI) Regulations, 2019, Regulation 31(2)(a)</t>
  </si>
  <si>
    <t xml:space="preserve">(a) ascertain at the time of granting registration and whenever applicable, whether the applicant forms part of any investor group;</t>
  </si>
  <si>
    <t xml:space="preserve">FPI Regs 2019, Reg 31(2)(a), Reg 22(1)(l), Reg 25(2)(d)</t>
  </si>
  <si>
    <t xml:space="preserve">FEE/REG/171</t>
  </si>
  <si>
    <t xml:space="preserve">FEE</t>
  </si>
  <si>
    <t xml:space="preserve">First fee for a family office</t>
  </si>
  <si>
    <t xml:space="preserve">Category II family office</t>
  </si>
  <si>
    <t xml:space="preserve">What is SEBI's registration fee, and how often is it paid?</t>
  </si>
  <si>
    <t xml:space="preserve">Location</t>
  </si>
  <si>
    <t xml:space="preserve">Singapore</t>
  </si>
  <si>
    <t xml:space="preserve">Regular FPI</t>
  </si>
  <si>
    <t xml:space="preserve">What does it pay?</t>
  </si>
  <si>
    <t xml:space="preserve">US$250 for each three-year block</t>
  </si>
  <si>
    <t xml:space="preserve">US$2,500 for each three-year block</t>
  </si>
  <si>
    <t xml:space="preserve">US$250 once, for life</t>
  </si>
  <si>
    <t xml:space="preserve">US$3,000 every three years</t>
  </si>
  <si>
    <t xml:space="preserve">Under the Second Schedule Part A, Category I pays US$2,500 and Category II pays US$250, at application and for every three-year block while registered. These amounts replaced US$3,000 and US$300 in November 2022.</t>
  </si>
  <si>
    <t xml:space="preserve">US$2,500 is the Category I fee.</t>
  </si>
  <si>
    <t xml:space="preserve">The fee is due again for every three-year block.</t>
  </si>
  <si>
    <t xml:space="preserve">US$3,000 was the old Category I fee, before November 2022.</t>
  </si>
  <si>
    <t xml:space="preserve">SEBI (FPI) Regulations, 2019, Second Schedule, Part A(1)–(2)</t>
  </si>
  <si>
    <t xml:space="preserve">(1) Foreign portfolio investor belonging to Category I and II shall pay registration fees of US $2500 and US $250, respectively or any other amount specified by the Board from time to time at the time of submission of the Form to the designated depository participant. (2) Foreign portfolio investor belonging to Category I and II shall pay registration fees for every block of three years, till the validity of its registration,</t>
  </si>
  <si>
    <t xml:space="preserve">FPI Regs 2019, Second Schedule Part A(1)–(2)</t>
  </si>
  <si>
    <t xml:space="preserve">FEE/EXM/172</t>
  </si>
  <si>
    <t xml:space="preserve">Multilateral development bank applies</t>
  </si>
  <si>
    <t xml:space="preserve">Multilateral development bank set up outside India to provide aid</t>
  </si>
  <si>
    <t xml:space="preserve">Granted privileges and immunities from Indian taxes and duties by the Central Government</t>
  </si>
  <si>
    <t xml:space="preserve">Category</t>
  </si>
  <si>
    <t xml:space="preserve">I</t>
  </si>
  <si>
    <t xml:space="preserve">Registration fee</t>
  </si>
  <si>
    <t xml:space="preserve">US$2,500, like any other Category I FPI</t>
  </si>
  <si>
    <t xml:space="preserve">Nothing. It's exempt</t>
  </si>
  <si>
    <t xml:space="preserve">US$250, at a reduced rate for aid bodies</t>
  </si>
  <si>
    <t xml:space="preserve">The US$800 regulatory fee instead</t>
  </si>
  <si>
    <t xml:space="preserve">The Second Schedule Part A(3) exempts international or multilateral agencies, such as the World Bank, from registration fees. They must be set up outside India to provide aid and have privileges and immunities granted by the Central Government. Separately, World Bank Group entities are exempt from combining holdings for the 10% limit.</t>
  </si>
  <si>
    <t xml:space="preserve">The Part A(3) exemption overrides the standard Category I fee.</t>
  </si>
  <si>
    <t xml:space="preserve">There's no reduced rate. It's a full exemption.</t>
  </si>
  <si>
    <t xml:space="preserve">US$800 is the regulatory fee on ODI subscribers.</t>
  </si>
  <si>
    <t xml:space="preserve">SEBI (FPI) Regulations, 2019, Second Schedule, Part A(3)</t>
  </si>
  <si>
    <t xml:space="preserve">(3) International or multilateral agency such as World Bank and other institutions, established outside India for providing aid, which have been granted privileges and immunities from payment of tax and duties by the Central Government shall be exempted from the payment of registration fees.</t>
  </si>
  <si>
    <t xml:space="preserve">FPI Regs 2019, Second Schedule Part A(3); Op. Guidelines Part C 1</t>
  </si>
  <si>
    <t xml:space="preserve">FEE/REM/173</t>
  </si>
  <si>
    <t xml:space="preserve">Passing collected fees on to SEBI</t>
  </si>
  <si>
    <t xml:space="preserve">Collected FPI registration and continuance fees during September 2026</t>
  </si>
  <si>
    <t xml:space="preserve">When must the money reach SEBI?</t>
  </si>
  <si>
    <t xml:space="preserve">Format</t>
  </si>
  <si>
    <t xml:space="preserve">SEBI's prescribed statement</t>
  </si>
  <si>
    <t xml:space="preserve">Fees collected</t>
  </si>
  <si>
    <t xml:space="preserve">Mix of Category I and II</t>
  </si>
  <si>
    <t xml:space="preserve">By the 5th working day of October 2026</t>
  </si>
  <si>
    <t xml:space="preserve">By 31 March 2027, with the annual return</t>
  </si>
  <si>
    <t xml:space="preserve">Within 30 days of receiving each fee</t>
  </si>
  <si>
    <t xml:space="preserve">In a single batch at the end of the year</t>
  </si>
  <si>
    <t xml:space="preserve">Under the Second Schedule Part A(5), every DDP sends SEBI the fees it collected in the previous month by the 5th working day of each month, with details in the prescribed format. DDPs collect continuance fees in advance, once every three years (Part A(4)).</t>
  </si>
  <si>
    <t xml:space="preserve">Fees go to SEBI monthly, not yearly.</t>
  </si>
  <si>
    <t xml:space="preserve">The rule is monthly, by the 5th working day, not 30 days per receipt.</t>
  </si>
  <si>
    <t xml:space="preserve">There's no yearly batch. Remittance is monthly.</t>
  </si>
  <si>
    <t xml:space="preserve">SEBI (FPI) Regulations, 2019, Second Schedule, Part A(5)</t>
  </si>
  <si>
    <t xml:space="preserve">(5) Every designated depository participant shall remit the fees collected from the foreign portfolio investors during the immediate preceding month, to the Board, by 5th working day of every month, along with the details in the format, as may be specified from time to time.</t>
  </si>
  <si>
    <t xml:space="preserve">FPI Regs 2019, Second Schedule Part A(4)–(5); Reg 7(3)</t>
  </si>
  <si>
    <t xml:space="preserve">FEE/ODI/174</t>
  </si>
  <si>
    <t xml:space="preserve">Regulatory fee on ODI subscribers</t>
  </si>
  <si>
    <t xml:space="preserve">40 eligible subscribers</t>
  </si>
  <si>
    <t xml:space="preserve">What SEBI fee applies to each subscriber?</t>
  </si>
  <si>
    <t xml:space="preserve">Cycle</t>
  </si>
  <si>
    <t xml:space="preserve">Next deposit due</t>
  </si>
  <si>
    <t xml:space="preserve">What's the fee?</t>
  </si>
  <si>
    <t xml:space="preserve">US$800 per subscriber, once every three years</t>
  </si>
  <si>
    <t xml:space="preserve">US$1,000 per subscriber, every year</t>
  </si>
  <si>
    <t xml:space="preserve">US$2,500 per subscriber, once</t>
  </si>
  <si>
    <t xml:space="preserve">No fee. Only the issuer pays its FPI fee</t>
  </si>
  <si>
    <t xml:space="preserve">Under the Second Schedule Part C, the issuing FPI collects a US$800 regulatory fee from every ODI subscriber and deposits it with SEBI, once every three years (counting from 1 April 2017).</t>
  </si>
  <si>
    <t xml:space="preserve">US$1,000 was the old amount, replaced by US$800 in November 2022, and it's paid every three years, not yearly.</t>
  </si>
  <si>
    <t xml:space="preserve">US$2,500 is the Category I registration fee.</t>
  </si>
  <si>
    <t xml:space="preserve">Reg 21(4) requires the issuer to collect a fee from every subscriber.</t>
  </si>
  <si>
    <t xml:space="preserve">SEBI (FPI) Regulations, 2019, Second Schedule, Part C</t>
  </si>
  <si>
    <t xml:space="preserve">(1) A foreign portfolio investor shall collect the regulatory fee of US $ 800 or any other amount, as may be specified by the Board from time to time, from every subscriber of offshore derivative instrument issued by it and deposit the same with the Board by way of electronic transfer in the designated bank account of the Board. (2) The regulatory fee shall be deposited once every three years beginning April 1, 2017.</t>
  </si>
  <si>
    <t xml:space="preserve">FPI Regs 2019, Reg 21(4); Second Schedule Part C</t>
  </si>
  <si>
    <t xml:space="preserve">ONB/ELG/201</t>
  </si>
  <si>
    <t xml:space="preserve">One province in, one province out</t>
  </si>
  <si>
    <t xml:space="preserve">Pension plan from a country with separate provincial securities regulators</t>
  </si>
  <si>
    <t xml:space="preserve">Its province</t>
  </si>
  <si>
    <t xml:space="preserve">Regulator has not signed the IOSCO MMoU and has no SEBI MoU</t>
  </si>
  <si>
    <t xml:space="preserve">Neighbouring province</t>
  </si>
  <si>
    <t xml:space="preserve">Regulator is an IOSCO MMoU signatory</t>
  </si>
  <si>
    <t xml:space="preserve">Does the country-level IOSCO status carry it through?</t>
  </si>
  <si>
    <t xml:space="preserve">Yes. The country has an IOSCO signatory, which is enough</t>
  </si>
  <si>
    <t xml:space="preserve">No. Its own province's regulator must qualify</t>
  </si>
  <si>
    <t xml:space="preserve">Yes, if the neighbouring regulator gives a no-objection</t>
  </si>
  <si>
    <t xml:space="preserve">No. Federal countries are excluded from FPI registration</t>
  </si>
  <si>
    <t xml:space="preserve">Where a country has separate securities regulators for different provinces or states, only applicants from provinces whose regulator signs the IOSCO MMoU, or has a bilateral MoU with SEBI, are eligible.</t>
  </si>
  <si>
    <t xml:space="preserve">The test runs at province level. One province's signature doesn't cover another.</t>
  </si>
  <si>
    <t xml:space="preserve">There is no no-objection route between regulators.</t>
  </si>
  <si>
    <t xml:space="preserve">Federal countries aren't excluded. Applicants from qualifying provinces can register.</t>
  </si>
  <si>
    <t xml:space="preserve">SEBI Operational Guidelines for FPIs and DDPs, Part A 2(i)</t>
  </si>
  <si>
    <t xml:space="preserve">With respect to the eligibility of FPI applicants from a country where there are separate securities market regulators for different provinces/ states within that country, applicants from only those provinces / states whose securities market regulator is a signatory to IOSCO MMOUs or has entered into a Bilateral Memorandum of Understanding with SEBI would be eligible for grant of registration as FPI.</t>
  </si>
  <si>
    <t xml:space="preserve">Op. Guidelines Part A 2(i); FPI Regs 2019, Reg 4(d)</t>
  </si>
  <si>
    <t xml:space="preserve">ONB/ELG/202</t>
  </si>
  <si>
    <t xml:space="preserve">What 'from a FATF member country' means</t>
  </si>
  <si>
    <t xml:space="preserve">Credit fund incorporated in Luxembourg</t>
  </si>
  <si>
    <t xml:space="preserve">Primary place of business</t>
  </si>
  <si>
    <t xml:space="preserve">Regulated by</t>
  </si>
  <si>
    <t xml:space="preserve">Monetary Authority of Singapore</t>
  </si>
  <si>
    <t xml:space="preserve">Category test</t>
  </si>
  <si>
    <t xml:space="preserve">Needs to be 'from a FATF member country'</t>
  </si>
  <si>
    <t xml:space="preserve">How does the DDP apply the FATF-country test?</t>
  </si>
  <si>
    <t xml:space="preserve">By place of incorporation alone, nothing else</t>
  </si>
  <si>
    <t xml:space="preserve">By primary place of business and regulator</t>
  </si>
  <si>
    <t xml:space="preserve">By the nationality of the largest investor</t>
  </si>
  <si>
    <t xml:space="preserve">By where the custodian bank is located</t>
  </si>
  <si>
    <t xml:space="preserve">An entity 'from a FATF member country' means one whose primary place of business is in a FATF member country and, if regulated, is appropriately regulated in a FATF member country. Here both Singapore facts point the same way.</t>
  </si>
  <si>
    <t xml:space="preserve">Incorporation sets the country code, but the FATF test looks at the primary place of business and regulator.</t>
  </si>
  <si>
    <t xml:space="preserve">Investor nationality isn't part of this definition.</t>
  </si>
  <si>
    <t xml:space="preserve">The custodian's location is irrelevant to the applicant's FATF status.</t>
  </si>
  <si>
    <t xml:space="preserve">Any reference in the Regulations and in these Operating Guidelines, an entity 'from a FATF member country' will mean that the entity has its primary place of business in a FATF member country and, if regulated, is appropriately regulated in a FATF member country.</t>
  </si>
  <si>
    <t xml:space="preserve">Op. Guidelines Part A 2(i)</t>
  </si>
  <si>
    <t xml:space="preserve">ONB/REG/203</t>
  </si>
  <si>
    <t xml:space="preserve">Country code in the registration number</t>
  </si>
  <si>
    <t xml:space="preserve">Fund incorporated in Ireland</t>
  </si>
  <si>
    <t xml:space="preserve">Registered address</t>
  </si>
  <si>
    <t xml:space="preserve">Dublin</t>
  </si>
  <si>
    <t xml:space="preserve">Based in London</t>
  </si>
  <si>
    <t xml:space="preserve">Which country code goes in its FPI registration number?</t>
  </si>
  <si>
    <t xml:space="preserve">Which country code is used?</t>
  </si>
  <si>
    <t xml:space="preserve">United Kingdom, where the manager is based</t>
  </si>
  <si>
    <t xml:space="preserve">Ireland, its registered address</t>
  </si>
  <si>
    <t xml:space="preserve">India, since the registration is Indian</t>
  </si>
  <si>
    <t xml:space="preserve">Whichever the applicant prefers</t>
  </si>
  <si>
    <t xml:space="preserve">The country code in the FPI registration number is the country of the applicant's registered or residence address, established from its incorporation or regulatory documents.</t>
  </si>
  <si>
    <t xml:space="preserve">The manager's location doesn't set the applicant's country code.</t>
  </si>
  <si>
    <t xml:space="preserve">The code identifies the FPI's own country, not India.</t>
  </si>
  <si>
    <t xml:space="preserve">It's fixed by the registered address, not by choice.</t>
  </si>
  <si>
    <t xml:space="preserve">The country code in the FPI registration number shall be the country of its registered/residence address.</t>
  </si>
  <si>
    <t xml:space="preserve">ONB/FIT/204</t>
  </si>
  <si>
    <t xml:space="preserve">Fined by its regulator two years ago</t>
  </si>
  <si>
    <t xml:space="preserve">Asset manager seeking Category I</t>
  </si>
  <si>
    <t xml:space="preserve">History</t>
  </si>
  <si>
    <t xml:space="preserve">Home regulator fined it in 2024 for a reporting lapse</t>
  </si>
  <si>
    <t xml:space="preserve">Still valid; never cancelled</t>
  </si>
  <si>
    <t xml:space="preserve">DDP view</t>
  </si>
  <si>
    <t xml:space="preserve">Considering rejection on this ground</t>
  </si>
  <si>
    <t xml:space="preserve">Does the past fine make it ineligible?</t>
  </si>
  <si>
    <t xml:space="preserve">Yes. Any past regulatory action is disqualifying</t>
  </si>
  <si>
    <t xml:space="preserve">No, unless the registration was cancelled</t>
  </si>
  <si>
    <t xml:space="preserve">Yes, unless SEBI grants a waiver</t>
  </si>
  <si>
    <t xml:space="preserve">Only if the fine was over US$1 million in total</t>
  </si>
  <si>
    <t xml:space="preserve">Past action by an applicant's regulator doesn't necessarily make it ineligible, as long as the action didn't result in cancellation of its registration. The DDP still assesses fit and proper status.</t>
  </si>
  <si>
    <t xml:space="preserve">The guidelines say past action doesn't automatically disqualify an applicant.</t>
  </si>
  <si>
    <t xml:space="preserve">No SEBI waiver is needed here.</t>
  </si>
  <si>
    <t xml:space="preserve">There's no monetary threshold in the guidelines.</t>
  </si>
  <si>
    <t xml:space="preserve">SEBI Operational Guidelines for FPIs and DDPs, Part A 2(vi)</t>
  </si>
  <si>
    <t xml:space="preserve">Any past action taken by FPI applicant's regulator may not necessarily render such an applicant ineligible as long as such action did not result in cancellation of its registration.</t>
  </si>
  <si>
    <t xml:space="preserve">Op. Guidelines Part A 2(vi); FPI Regs 2019, Reg 4(g)</t>
  </si>
  <si>
    <t xml:space="preserve">ONB/FIT/205</t>
  </si>
  <si>
    <t xml:space="preserve">Suspended in one of five countries</t>
  </si>
  <si>
    <t xml:space="preserve">Broker-dealer group active in five jurisdictions</t>
  </si>
  <si>
    <t xml:space="preserve">One foreign regulator suspended its local entity</t>
  </si>
  <si>
    <t xml:space="preserve">Effect</t>
  </si>
  <si>
    <t xml:space="preserve">No impact on the group's ability to trade elsewhere</t>
  </si>
  <si>
    <t xml:space="preserve">Can the DDP still consider it?</t>
  </si>
  <si>
    <t xml:space="preserve">No. A suspension anywhere is disqualifying</t>
  </si>
  <si>
    <t xml:space="preserve">Yes, if trading elsewhere is unaffected</t>
  </si>
  <si>
    <t xml:space="preserve">Only once the suspension has been lifted everywhere</t>
  </si>
  <si>
    <t xml:space="preserve">Only with RBI's prior comments</t>
  </si>
  <si>
    <t xml:space="preserve">If an applicant present in several jurisdictions is suspended by one regulator, and that doesn't affect the entity's or its affiliates' ability to trade elsewhere, the DDP can consider it eligible, subject to the other requirements.</t>
  </si>
  <si>
    <t xml:space="preserve">The guidelines expressly allow such applicants to be considered.</t>
  </si>
  <si>
    <t xml:space="preserve">There's no requirement to wait for the suspension to end.</t>
  </si>
  <si>
    <t xml:space="preserve">RBI comments apply to banks with an Indian presence, not to this case.</t>
  </si>
  <si>
    <t xml:space="preserve">Further, if an FPI applicant, which is present in multiple jurisdictions, is suspended by one of its foreign regulator and if this suspension does not affect the entity or any of its affiliates' ability to trade in any other country around the world, DDP can consider such an applicant eligible for grant of FPI registration subject to fulfillment of applicable eligibility requirements.</t>
  </si>
  <si>
    <t xml:space="preserve">Op. Guidelines Part A 2(vi)</t>
  </si>
  <si>
    <t xml:space="preserve">ONB/REG/206</t>
  </si>
  <si>
    <t xml:space="preserve">Adding the manager's name</t>
  </si>
  <si>
    <t xml:space="preserve">Sub-fund of an umbrella fund</t>
  </si>
  <si>
    <t xml:space="preserve">Show the umbrella fund and manager names after its own</t>
  </si>
  <si>
    <t xml:space="preserve">Easier identification</t>
  </si>
  <si>
    <t xml:space="preserve">Unsure if allowed</t>
  </si>
  <si>
    <t xml:space="preserve">Is the suffix allowed?</t>
  </si>
  <si>
    <t xml:space="preserve">No. The name must match its incorporation documents</t>
  </si>
  <si>
    <t xml:space="preserve">Yes. A manager or umbrella suffix is allowed</t>
  </si>
  <si>
    <t xml:space="preserve">Only with SEBI's approval</t>
  </si>
  <si>
    <t xml:space="preserve">Only for Category II applicants</t>
  </si>
  <si>
    <t xml:space="preserve">An applicant may add the name of its investment manager, umbrella fund or trustee as a suffix to its name.</t>
  </si>
  <si>
    <t xml:space="preserve">The guidelines specifically allow this suffix.</t>
  </si>
  <si>
    <t xml:space="preserve">No SEBI approval is needed.</t>
  </si>
  <si>
    <t xml:space="preserve">The option isn't limited to Category II.</t>
  </si>
  <si>
    <t xml:space="preserve">SEBI Operational Guidelines for FPIs and DDPs, Part A 2(viii)</t>
  </si>
  <si>
    <t xml:space="preserve">The applicant may also add the name of its investment manager/ umbrella fund/trustee, etc. as a suffix to its name.</t>
  </si>
  <si>
    <t xml:space="preserve">Op. Guidelines Part A 2(viii)</t>
  </si>
  <si>
    <t xml:space="preserve">ONB/BNK/207</t>
  </si>
  <si>
    <t xml:space="preserve">Bank supervised by a unified regulator</t>
  </si>
  <si>
    <t xml:space="preserve">Commercial bank</t>
  </si>
  <si>
    <t xml:space="preserve">Home supervision</t>
  </si>
  <si>
    <t xml:space="preserve">A single unified financial-sector regulator, not a separate banking regulator</t>
  </si>
  <si>
    <t xml:space="preserve">Central bank</t>
  </si>
  <si>
    <t xml:space="preserve">BIS member</t>
  </si>
  <si>
    <t xml:space="preserve">Category I as a regulated bank</t>
  </si>
  <si>
    <t xml:space="preserve">Is it 'appropriately regulated'?</t>
  </si>
  <si>
    <t xml:space="preserve">No. It needs a dedicated banking regulator at home</t>
  </si>
  <si>
    <t xml:space="preserve">Yes. A unified regulator counts</t>
  </si>
  <si>
    <t xml:space="preserve">Only if the securities regulator also licenses it</t>
  </si>
  <si>
    <t xml:space="preserve">Only after RBI confirms</t>
  </si>
  <si>
    <t xml:space="preserve">A bank applicant (other than a central bank) is deemed appropriately regulated if it's regulated by the unified financial-sector regulator or by a banking regulator in its home jurisdiction.</t>
  </si>
  <si>
    <t xml:space="preserve">A unified regulator is expressly accepted.</t>
  </si>
  <si>
    <t xml:space="preserve">No separate securities licence is needed for this test.</t>
  </si>
  <si>
    <t xml:space="preserve">RBI comments arise only for banks with an Indian presence.</t>
  </si>
  <si>
    <t xml:space="preserve">An FPI applicant under bank category (other than a central bank) would be deemed to be appropriately regulated if it is regulated by the unified financial sector regulator in its home jurisdiction or by a banking sector regulator in its home jurisdiction.</t>
  </si>
  <si>
    <t xml:space="preserve">Op. Guidelines Part A 3(i); FPI Regs 2019, Reg 2(1)(b)</t>
  </si>
  <si>
    <t xml:space="preserve">ONB/CAT/208</t>
  </si>
  <si>
    <t xml:space="preserve">University endowment, university only three years old</t>
  </si>
  <si>
    <t xml:space="preserve">Endowment of a private university in Australia (FATF member)</t>
  </si>
  <si>
    <t xml:space="preserve">University founded</t>
  </si>
  <si>
    <t xml:space="preserve">2023</t>
  </si>
  <si>
    <t xml:space="preserve">Category I, as a university fund</t>
  </si>
  <si>
    <t xml:space="preserve">Category II, as an endowment</t>
  </si>
  <si>
    <t xml:space="preserve">Not eligible until the university is five years old</t>
  </si>
  <si>
    <t xml:space="preserve">Category I, with the trustee's written undertaking</t>
  </si>
  <si>
    <t xml:space="preserve">Category I covers university-related endowments from FATF countries only where the university has existed for more than five years. Otherwise the endowment falls under Category II, which lists endowments and foundations.</t>
  </si>
  <si>
    <t xml:space="preserve">The Category I route needs the university to be over five years old.</t>
  </si>
  <si>
    <t xml:space="preserve">It isn't ineligible; it qualifies for Category II.</t>
  </si>
  <si>
    <t xml:space="preserve">No undertaking substitutes for the five-year condition.</t>
  </si>
  <si>
    <t xml:space="preserve">SEBI (FPI) Regulations, 2019, Regulation 5(a)(iv)(III)</t>
  </si>
  <si>
    <t xml:space="preserve">university related endowments of such universities that have been in existence for more than five years;</t>
  </si>
  <si>
    <t xml:space="preserve">SEBI (FPI) Regulations, 2019, Regulation 5(b)(ii)</t>
  </si>
  <si>
    <t xml:space="preserve">(ii) endowments and foundations;</t>
  </si>
  <si>
    <t xml:space="preserve">FPI Regs 2019, Reg 5(a)(iv)(III), Reg 5(b)(ii)</t>
  </si>
  <si>
    <t xml:space="preserve">ONB/CAT/209</t>
  </si>
  <si>
    <t xml:space="preserve">Unregulated subsidiary of a regulated bank</t>
  </si>
  <si>
    <t xml:space="preserve">Unregulated investment vehicle</t>
  </si>
  <si>
    <t xml:space="preserve">Owner</t>
  </si>
  <si>
    <t xml:space="preserve">80% owned by a regulated German bank</t>
  </si>
  <si>
    <t xml:space="preserve">Parent's status</t>
  </si>
  <si>
    <t xml:space="preserve">Eligible as Category I; from a FATF country</t>
  </si>
  <si>
    <t xml:space="preserve">Parent accepts responsibility for the vehicle</t>
  </si>
  <si>
    <t xml:space="preserve">Category II, because the vehicle itself is unregulated</t>
  </si>
  <si>
    <t xml:space="preserve">Category I, through its 80% owner</t>
  </si>
  <si>
    <t xml:space="preserve">Category I only if the vehicle gets its own licence</t>
  </si>
  <si>
    <t xml:space="preserve">Reg 5(a)(v)(B) puts in Category I an entity at least 75% owned, directly or indirectly, by an entity eligible under Reg 5(a)(ii)–(iv) from a FATF member country, provided that owner takes responsibility for its acts and omissions.</t>
  </si>
  <si>
    <t xml:space="preserve">Ownership by an eligible regulated parent lifts it into Category I.</t>
  </si>
  <si>
    <t xml:space="preserve">Its own licence isn't needed on this route.</t>
  </si>
  <si>
    <t xml:space="preserve">It's eligible, and in Category I.</t>
  </si>
  <si>
    <t xml:space="preserve">FPI Regs 2019, Reg 5(a)(v)(B) and proviso</t>
  </si>
  <si>
    <t xml:space="preserve">ONB/MIM/210</t>
  </si>
  <si>
    <t xml:space="preserve">Three managers, three registrations</t>
  </si>
  <si>
    <t xml:space="preserve">Sovereign pension fund</t>
  </si>
  <si>
    <t xml:space="preserve">Structure</t>
  </si>
  <si>
    <t xml:space="preserve">Mandates with three external investment managers</t>
  </si>
  <si>
    <t xml:space="preserve">Separate FPI registrations, each through a different DDP</t>
  </si>
  <si>
    <t xml:space="preserve">One PAN</t>
  </si>
  <si>
    <t xml:space="preserve">No. One entity, one registration, one DDP</t>
  </si>
  <si>
    <t xml:space="preserve">Yes, with limits clubbed across them</t>
  </si>
  <si>
    <t xml:space="preserve">Yes, and each registration gets its own 10% limit</t>
  </si>
  <si>
    <t xml:space="preserve">Only if each manager gets its own PAN</t>
  </si>
  <si>
    <t xml:space="preserve">An entity with multiple external investment managers can obtain multiple FPI registrations, naming the manager in each. It may use different DDPs. All registrations share one PAN, and investments are clubbed for investment limits.</t>
  </si>
  <si>
    <t xml:space="preserve">Multiple-manager structures are expressly allowed.</t>
  </si>
  <si>
    <t xml:space="preserve">Investments under these registrations are clubbed for limits.</t>
  </si>
  <si>
    <t xml:space="preserve">They share the same PAN.</t>
  </si>
  <si>
    <t xml:space="preserve">SEBI Operational Guidelines for FPIs and DDPs, Part A 4(i)</t>
  </si>
  <si>
    <t xml:space="preserve">Where an entity engages multiple investment managers (MIM) for managing its investments, the entity can obtain multiple FPI registrations mentioning name of Investment Manager for each such registration. There should be external investment managers in case of MIM structures and such applicants can appoint different DDPs for each such registration. Investments made under such multiple registrations shall be clubbed for the purposes of monitoring of investment limits.</t>
  </si>
  <si>
    <t xml:space="preserve">Op. Guidelines Part A 4</t>
  </si>
  <si>
    <t xml:space="preserve">ONB/MIM/211</t>
  </si>
  <si>
    <t xml:space="preserve">Two in-house teams want separate registrations</t>
  </si>
  <si>
    <t xml:space="preserve">Insurance company</t>
  </si>
  <si>
    <t xml:space="preserve">Separate FPI registrations for its equity team and bond team</t>
  </si>
  <si>
    <t xml:space="preserve">Managers</t>
  </si>
  <si>
    <t xml:space="preserve">Both teams are internal staff</t>
  </si>
  <si>
    <t xml:space="preserve">Cleaner reporting</t>
  </si>
  <si>
    <t xml:space="preserve">Does the multiple-manager route apply?</t>
  </si>
  <si>
    <t xml:space="preserve">Yes. Any two teams can register separately</t>
  </si>
  <si>
    <t xml:space="preserve">No. It needs external managers</t>
  </si>
  <si>
    <t xml:space="preserve">Yes, if the two teams sit in different countries</t>
  </si>
  <si>
    <t xml:space="preserve">Yes, with a separate PAN for each team</t>
  </si>
  <si>
    <t xml:space="preserve">Multiple-manager structures need external investment managers. Internal teams of the same entity don't qualify for separate registrations on this basis.</t>
  </si>
  <si>
    <t xml:space="preserve">The route is for external managers, not internal teams.</t>
  </si>
  <si>
    <t xml:space="preserve">Location doesn't change the external-manager requirement.</t>
  </si>
  <si>
    <t xml:space="preserve">Multiple-manager registrations share one PAN, and the route still needs external managers.</t>
  </si>
  <si>
    <t xml:space="preserve">Op. Guidelines Part A 4(i)</t>
  </si>
  <si>
    <t xml:space="preserve">ONB/NAM/212</t>
  </si>
  <si>
    <t xml:space="preserve">FPI changes its name</t>
  </si>
  <si>
    <t xml:space="preserve">Renamed after a rebrand</t>
  </si>
  <si>
    <t xml:space="preserve">Evidence</t>
  </si>
  <si>
    <t xml:space="preserve">Updated entry on its home regulator's website</t>
  </si>
  <si>
    <t xml:space="preserve">Ownership, category, structure</t>
  </si>
  <si>
    <t xml:space="preserve">Unchanged</t>
  </si>
  <si>
    <t xml:space="preserve">What does the DDP need, and what follows?</t>
  </si>
  <si>
    <t xml:space="preserve">A fresh registration application</t>
  </si>
  <si>
    <t xml:space="preserve">Proof of the change and an undertaking</t>
  </si>
  <si>
    <t xml:space="preserve">Nothing. Name changes don't need reporting</t>
  </si>
  <si>
    <t xml:space="preserve">SEBI's prior approval of the new name before use</t>
  </si>
  <si>
    <t xml:space="preserve">The FPI submits proof (regulator's website, certified regulator or registrar documents, or a board resolution) and an undertaking that it's a mere name change with no change in beneficial ownership, category or structure. The DDP issues a letter and fresh certificate. The FPI also updates its PAN records.</t>
  </si>
  <si>
    <t xml:space="preserve">A name change doesn't need a new registration.</t>
  </si>
  <si>
    <t xml:space="preserve">Name changes must be reported with supporting evidence.</t>
  </si>
  <si>
    <t xml:space="preserve">The DDP processes it; no SEBI approval is needed.</t>
  </si>
  <si>
    <t xml:space="preserve">SEBI Operational Guidelines for FPIs and DDPs, Part A 10</t>
  </si>
  <si>
    <t xml:space="preserve">In case the FPI has undergone a change in name, the request for updation/ incorporation of new name should be submitted by the FPI to the DDP accompanied by documents certifying the name change. Such name change can be evidenced by:    Information available on the website of the home regulator; or Certified copy of document(s) from home regulator; or Certified copy of document(s) from Registrar of Company (or equivalent authority) (wherever applicable) issued; or  Where above is not applicable, a Board Resolution or equivalent authorizing the name change An undertaking by the FPI shall be given stating that it is a mere name change and does not involve change in beneficial ownership, category or structure.</t>
  </si>
  <si>
    <t xml:space="preserve">Op. Guidelines Part A 10</t>
  </si>
  <si>
    <t xml:space="preserve">ONB/NAM/213</t>
  </si>
  <si>
    <t xml:space="preserve">Name change reported nine months late</t>
  </si>
  <si>
    <t xml:space="preserve">Renamed</t>
  </si>
  <si>
    <t xml:space="preserve">January 2026</t>
  </si>
  <si>
    <t xml:space="preserve">What extra step applies because of the delay?</t>
  </si>
  <si>
    <t xml:space="preserve">None, as long as ownership is unchanged</t>
  </si>
  <si>
    <t xml:space="preserve">The DDP reports the delay, with reasons</t>
  </si>
  <si>
    <t xml:space="preserve">The FPI pays a late fee to SEBI</t>
  </si>
  <si>
    <t xml:space="preserve">The registration is suspended for six months</t>
  </si>
  <si>
    <t xml:space="preserve">Where an FPI delays reporting a name change beyond six months, the DDP must provide details of all such instances with reasons.</t>
  </si>
  <si>
    <t xml:space="preserve">The guidelines specifically call out delays beyond six months.</t>
  </si>
  <si>
    <t xml:space="preserve">There's no late fee in the guidelines.</t>
  </si>
  <si>
    <t xml:space="preserve">There's no suspension; the delay is reported.</t>
  </si>
  <si>
    <t xml:space="preserve">SEBI Operational Guidelines for FPIs and DDPs, Part A 10(ii)</t>
  </si>
  <si>
    <t xml:space="preserve">Where FPIs has delayed in submitting details of name change beyond 6 months, DDP shall provide details of all such instances with reasons.</t>
  </si>
  <si>
    <t xml:space="preserve">Op. Guidelines Part A 10(ii)</t>
  </si>
  <si>
    <t xml:space="preserve">ONB/CUS/214</t>
  </si>
  <si>
    <t xml:space="preserve">How long to move to the new custodian</t>
  </si>
  <si>
    <t xml:space="preserve">New DDP approved its change of custodian on 1 March</t>
  </si>
  <si>
    <t xml:space="preserve">Assets still with the old custodian on 20 March</t>
  </si>
  <si>
    <t xml:space="preserve">Deadline</t>
  </si>
  <si>
    <t xml:space="preserve">What's the transfer deadline?</t>
  </si>
  <si>
    <t xml:space="preserve">7 working days from the approval</t>
  </si>
  <si>
    <t xml:space="preserve">30 days, plus one 30-day extension</t>
  </si>
  <si>
    <t xml:space="preserve">90 days from the approval</t>
  </si>
  <si>
    <t xml:space="preserve">No deadline applies to transfers</t>
  </si>
  <si>
    <t xml:space="preserve">Once the change of DDP or custodian is approved, the FPI transfers accounts and assets within 30 days. If that isn't done, it gives reasons and may seek a further 30 days. Both DDPs then confirm completion to SEBI.</t>
  </si>
  <si>
    <t xml:space="preserve">7 working days is the material-change reporting deadline, not the transfer window.</t>
  </si>
  <si>
    <t xml:space="preserve">The window is 30 days, plus one 30-day extension.</t>
  </si>
  <si>
    <t xml:space="preserve">The guidelines set a 30-day window.</t>
  </si>
  <si>
    <t xml:space="preserve">SEBI Operational Guidelines for FPIs and DDPs, Part A 12(iii)</t>
  </si>
  <si>
    <t xml:space="preserve">Once the change of DDP/Custodian is approved by DDP, the FPI will need to transfer accounts and assets to the new DDP/Custodian within a period of 30 days. In case the transition does not take place within the stipulated time, the FPI shall provide reasons for the same and seek extension from DDP for a further period of 30 days.</t>
  </si>
  <si>
    <t xml:space="preserve">Op. Guidelines Part A 12(iii)</t>
  </si>
  <si>
    <t xml:space="preserve">ONB/CUS/215</t>
  </si>
  <si>
    <t xml:space="preserve">New DDP relying on the old one's checks</t>
  </si>
  <si>
    <t xml:space="preserve">Moving from DDP A to DDP B</t>
  </si>
  <si>
    <t xml:space="preserve">DDP B asks</t>
  </si>
  <si>
    <t xml:space="preserve">Must we redo all due diligence now?</t>
  </si>
  <si>
    <t xml:space="preserve">Next continuance</t>
  </si>
  <si>
    <t xml:space="preserve">Eighteen months away</t>
  </si>
  <si>
    <t xml:space="preserve">KYC</t>
  </si>
  <si>
    <t xml:space="preserve">Complete at DDP A</t>
  </si>
  <si>
    <t xml:space="preserve">What does DDP B have to do?</t>
  </si>
  <si>
    <t xml:space="preserve">Redo full due diligence before accepting the transfer</t>
  </si>
  <si>
    <t xml:space="preserve">Rely on DDP A now; redo checks at continuance</t>
  </si>
  <si>
    <t xml:space="preserve">Nothing, ever. DDP A's checks carry over permanently</t>
  </si>
  <si>
    <t xml:space="preserve">Ask SEBI to approve the reliance</t>
  </si>
  <si>
    <t xml:space="preserve">On a change of DDP, the new DDP may rely on the due diligence carried out by the old DDP. It must carry out adequate due diligence itself when the FPI applies for continuance.</t>
  </si>
  <si>
    <t xml:space="preserve">Full re-diligence isn't required at transfer.</t>
  </si>
  <si>
    <t xml:space="preserve">Reliance lasts only until continuance.</t>
  </si>
  <si>
    <t xml:space="preserve">No SEBI approval is needed for this reliance.</t>
  </si>
  <si>
    <t xml:space="preserve">SEBI Operational Guidelines for FPIs and DDPs, Part A 12(iv)</t>
  </si>
  <si>
    <t xml:space="preserve">With respect to the process of change of local custodian/DDP by an FPI, the new DDP (i.e. transferee) may rely on the due diligence carried out by the old DDP. However, the new DDP is required to carry out adequate due diligence at the time when the FPI applies for continuance of its registration.</t>
  </si>
  <si>
    <t xml:space="preserve">Op. Guidelines Part A 12(iv)</t>
  </si>
  <si>
    <t xml:space="preserve">ONB/CUS/216</t>
  </si>
  <si>
    <t xml:space="preserve">Global custodian moves its clients</t>
  </si>
  <si>
    <t xml:space="preserve">Requester</t>
  </si>
  <si>
    <t xml:space="preserve">Global custodian acting for 40 underlying FPIs</t>
  </si>
  <si>
    <t xml:space="preserve">Move all 40 to a new local custodian</t>
  </si>
  <si>
    <t xml:space="preserve">Authorisation</t>
  </si>
  <si>
    <t xml:space="preserve">Explicit authority from each client</t>
  </si>
  <si>
    <t xml:space="preserve">Who must the new custodian inform?</t>
  </si>
  <si>
    <t xml:space="preserve">What applies?</t>
  </si>
  <si>
    <t xml:space="preserve">The FPIs must each apply themselves</t>
  </si>
  <si>
    <t xml:space="preserve">Allowed; it tells each FPI's compliance officer</t>
  </si>
  <si>
    <t xml:space="preserve">Allowed only with SEBI's prior approval</t>
  </si>
  <si>
    <t xml:space="preserve">Not allowed for more than 10 FPIs in one request</t>
  </si>
  <si>
    <t xml:space="preserve">A global custodian can request the change on behalf of its underlying FPIs if explicitly authorised by them. The transferee custodian then informs the compliance officer of each FPI about the change.</t>
  </si>
  <si>
    <t xml:space="preserve">An authorised global custodian can request it for them.</t>
  </si>
  <si>
    <t xml:space="preserve">No SEBI approval is needed for the request.</t>
  </si>
  <si>
    <t xml:space="preserve">There's no cap on the number of FPIs.</t>
  </si>
  <si>
    <t xml:space="preserve">SEBI Operational Guidelines for FPIs and DDPs, Part A 12(i)</t>
  </si>
  <si>
    <t xml:space="preserve">In case, an FPI or its Global Custodian wishes to change the local custodian/DDP, the request for change shall be forwarded to new local custodian/DDP. In case, the Global Custodian of FPI wishes to change the local custodian/DDP, then the request for change can be sent by the Global Custodian on behalf of its underlying FPI clients provided such Global Custodian has been explicitly authorized to take such steps by the client.</t>
  </si>
  <si>
    <t xml:space="preserve">SEBI Operational Guidelines for FPIs and DDPs, Part A 12(ii)</t>
  </si>
  <si>
    <t xml:space="preserve">In case, the request for change in local custodian/DDP is received from Global Custodian, the transferee local custodian/DDP shall inform Compliance Officer of the concerned FPI(s) regarding the change in their local custodian/DDP.</t>
  </si>
  <si>
    <t xml:space="preserve">Op. Guidelines Part A 12(i)–(ii)</t>
  </si>
  <si>
    <t xml:space="preserve">ONB/AML/217</t>
  </si>
  <si>
    <t xml:space="preserve">Applicant from a FATF call-for-action country</t>
  </si>
  <si>
    <t xml:space="preserve">Investment company</t>
  </si>
  <si>
    <t xml:space="preserve">Residence</t>
  </si>
  <si>
    <t xml:space="preserve">Country listed by FATF as subject to counter-measures</t>
  </si>
  <si>
    <t xml:space="preserve">Can it be registered?</t>
  </si>
  <si>
    <t xml:space="preserve">Yes, as Category II with enhanced KYC checks</t>
  </si>
  <si>
    <t xml:space="preserve">No. It's ineligible under Reg 4(f)</t>
  </si>
  <si>
    <t xml:space="preserve">Yes, if its investors are from other countries</t>
  </si>
  <si>
    <t xml:space="preserve">Yes, with SEBI's approval</t>
  </si>
  <si>
    <t xml:space="preserve">Reg 4(f) bars applicants resident in a country identified by FATF as having strategic AML/CFT deficiencies to which counter-measures apply, or that hasn't made sufficient progress on its action plan.</t>
  </si>
  <si>
    <t xml:space="preserve">Enhanced KYC doesn't cure Reg 4(f) ineligibility.</t>
  </si>
  <si>
    <t xml:space="preserve">The test looks at the applicant's own residence too.</t>
  </si>
  <si>
    <t xml:space="preserve">Reg 4(f) has no SEBI approval route.</t>
  </si>
  <si>
    <t xml:space="preserve">SEBI (FPI) Regulations, 2019, Regulation 4(f)</t>
  </si>
  <si>
    <t xml:space="preserve">(f) the applicant or its underlying investors contributing more than the threshold prescribed under sub-rule (3) of rule 9 of the Prevention of Money-laundering (Maintenance of Records) Rules, 2005 in the corpus of the applicant or identified on the basis of control, shall not be the person(s) mentioned in the Sanctions List notified from time to time by the United Nations Security Council and is not a resident in the country identified in the public statement of Financial Action Task Force as – (i) a jurisdiction having a strategic Anti-Money Laundering or Combating the Financing of Terrorism deficiencies to which counter measures apply; or (ii) a jurisdiction that has not made sufficient progress in addressing the deficiencies or has not committed to an action plan developed with the Financial Action Task Force to address the deficiencies;</t>
  </si>
  <si>
    <t xml:space="preserve">FPI Regs 2019, Reg 4(f)</t>
  </si>
  <si>
    <t xml:space="preserve">ONB/REN/218</t>
  </si>
  <si>
    <t xml:space="preserve">Fee paid, KYC review unfinished</t>
  </si>
  <si>
    <t xml:space="preserve">Fee</t>
  </si>
  <si>
    <t xml:space="preserve">Paid before the validity date</t>
  </si>
  <si>
    <t xml:space="preserve">KYC review</t>
  </si>
  <si>
    <t xml:space="preserve">Incomplete at the validity date, because the FPI didn't send documents</t>
  </si>
  <si>
    <t xml:space="preserve">Keep buying</t>
  </si>
  <si>
    <t xml:space="preserve">What's the position until the DDP confirms continuance?</t>
  </si>
  <si>
    <t xml:space="preserve">Business as usual, since the fee is paid</t>
  </si>
  <si>
    <t xml:space="preserve">No purchases until continuance is confirmed</t>
  </si>
  <si>
    <t xml:space="preserve">The registration lapses</t>
  </si>
  <si>
    <t xml:space="preserve">Only debt purchases until the review is done</t>
  </si>
  <si>
    <t xml:space="preserve">If the DDP receives fees before the validity date but due diligence, including KYC review, isn't complete because the FPI hasn't sent information, no further purchases are allowed until the DDP intimates continuance.</t>
  </si>
  <si>
    <t xml:space="preserve">Paying the fee alone doesn't unlock purchases here.</t>
  </si>
  <si>
    <t xml:space="preserve">It doesn't lapse, because the fee was paid in time.</t>
  </si>
  <si>
    <t xml:space="preserve">The block covers all purchases.</t>
  </si>
  <si>
    <t xml:space="preserve">SEBI Operational Guidelines for FPIs and DDPs, Part A 5(iv)</t>
  </si>
  <si>
    <t xml:space="preserve">If DDP is in receipt of registration fees prior to validity date but the due-diligence including KYC review is not complete by the validity date due to non-submission of information by the FPI, no further purchases may be permitted till the intimation of continuance is given by DDP.</t>
  </si>
  <si>
    <t xml:space="preserve">Op. Guidelines Part A 5(iv)</t>
  </si>
  <si>
    <t xml:space="preserve">KYC/UBO/221</t>
  </si>
  <si>
    <t xml:space="preserve">Beneficial owners of a central bank</t>
  </si>
  <si>
    <t xml:space="preserve">A foreign central bank</t>
  </si>
  <si>
    <t xml:space="preserve">I, under Reg 5(a)(i)</t>
  </si>
  <si>
    <t xml:space="preserve">DDP asks</t>
  </si>
  <si>
    <t xml:space="preserve">Please list your ultimate beneficial owners</t>
  </si>
  <si>
    <t xml:space="preserve">Applicant's reply</t>
  </si>
  <si>
    <t xml:space="preserve">Not applicable</t>
  </si>
  <si>
    <t xml:space="preserve">Is the applicant right?</t>
  </si>
  <si>
    <t xml:space="preserve">No. Every FPI must list UBOs</t>
  </si>
  <si>
    <t xml:space="preserve">Yes. Reg 5(a)(i) FPIs are exempt</t>
  </si>
  <si>
    <t xml:space="preserve">Only if it also gives a board resolution confirming it</t>
  </si>
  <si>
    <t xml:space="preserve">Only for its first registration</t>
  </si>
  <si>
    <t xml:space="preserve">UBO details aren't required for government and government-related entities. Category I FPIs registered under Reg 5(a)(i) are exempt from providing BO details.</t>
  </si>
  <si>
    <t xml:space="preserve">Government-related Category I FPIs are expressly exempt.</t>
  </si>
  <si>
    <t xml:space="preserve">The exemption doesn't depend on a board resolution.</t>
  </si>
  <si>
    <t xml:space="preserve">It isn't limited to first registration.</t>
  </si>
  <si>
    <t xml:space="preserve">SEBI Operational Guidelines for FPIs and DDPs, Part B 1, Table 4 note 3</t>
  </si>
  <si>
    <t xml:space="preserve">UBO is not required for Government and Government related entities.</t>
  </si>
  <si>
    <t xml:space="preserve">SEBI Operational Guidelines for FPIs and DDPs, Part B 4(ii)</t>
  </si>
  <si>
    <t xml:space="preserve">Category I FPI registered under Regulation 5(a)(i) are exempt from providing BO details.</t>
  </si>
  <si>
    <t xml:space="preserve">Op. Guidelines Part B 1 (Table 4 note 3), Part B 4(ii)</t>
  </si>
  <si>
    <t xml:space="preserve">KYC/RSK/222</t>
  </si>
  <si>
    <t xml:space="preserve">Category I fund from a high-risk jurisdiction</t>
  </si>
  <si>
    <t xml:space="preserve">Regulated mutual fund, Category I</t>
  </si>
  <si>
    <t xml:space="preserve">Jurisdiction</t>
  </si>
  <si>
    <t xml:space="preserve">Rated high risk by the custodian</t>
  </si>
  <si>
    <t xml:space="preserve">Government-related</t>
  </si>
  <si>
    <t xml:space="preserve">KYC pack offered</t>
  </si>
  <si>
    <t xml:space="preserve">The standard Category I set</t>
  </si>
  <si>
    <t xml:space="preserve">What KYC applies?</t>
  </si>
  <si>
    <t xml:space="preserve">The standard Category I set is enough for this fund</t>
  </si>
  <si>
    <t xml:space="preserve">Category II-level documents</t>
  </si>
  <si>
    <t xml:space="preserve">No KYC; Category I is exempt</t>
  </si>
  <si>
    <t xml:space="preserve">It must re-register as Category II</t>
  </si>
  <si>
    <t xml:space="preserve">For Category I FPIs from high-risk jurisdictions (other than Reg 5(a)(i) entities), Category II-level KYC documentation applies, and intermediaries may apply a lower 10% materiality threshold to identify beneficial owners.</t>
  </si>
  <si>
    <t xml:space="preserve">High-risk jurisdiction triggers heavier documentation.</t>
  </si>
  <si>
    <t xml:space="preserve">Only Reg 5(a)(i) entities get BO exemptions, and KYC still applies.</t>
  </si>
  <si>
    <t xml:space="preserve">Its category doesn't change; its documentation does.</t>
  </si>
  <si>
    <t xml:space="preserve">SEBI Operational Guidelines for FPIs and DDPs, Part B 1, note (ii)</t>
  </si>
  <si>
    <t xml:space="preserve">For FPI Category - I coming from high-risk jurisdiction (other than those registered under Regulation 5(a)(i)), the KYC documentation equivalent to FPI Category II shall apply.</t>
  </si>
  <si>
    <t xml:space="preserve">SEBI Operational Guidelines for FPIs and DDPs, Part B 4(iv)</t>
  </si>
  <si>
    <t xml:space="preserve">In respect of FPIs (other than Category I FPI registered under Regulation 5(a)(i)) coming from “high risk jurisdictions” as identified by intermediary, the intermediaries may apply lower materiality threshold of 10% for identification of BO.</t>
  </si>
  <si>
    <t xml:space="preserve">Op. Guidelines Part B 1 (note ii), Part B 4(iv)</t>
  </si>
  <si>
    <t xml:space="preserve">KYC/RSK/223</t>
  </si>
  <si>
    <t xml:space="preserve">Category II regulated fund's paperwork</t>
  </si>
  <si>
    <t xml:space="preserve">Regulated fund from a non-FATF country</t>
  </si>
  <si>
    <t xml:space="preserve">II under Reg 5(b)(i)</t>
  </si>
  <si>
    <t xml:space="preserve">Which KYC set applies?</t>
  </si>
  <si>
    <t xml:space="preserve">BO format</t>
  </si>
  <si>
    <t xml:space="preserve">To be confirmed</t>
  </si>
  <si>
    <t xml:space="preserve">What documentation applies?</t>
  </si>
  <si>
    <t xml:space="preserve">Full Category II documentation, like any Category II FPI</t>
  </si>
  <si>
    <t xml:space="preserve">Category I-equivalent, BO in set format</t>
  </si>
  <si>
    <t xml:space="preserve">No KYC; it's regulated</t>
  </si>
  <si>
    <t xml:space="preserve">Whatever its home regulator requires</t>
  </si>
  <si>
    <t xml:space="preserve">Category II FPIs registered under Reg 5(b)(i), appropriately regulated funds not eligible for Category I, provide KYC documentation equivalent to Category I, but BO details must be given in the specified format.</t>
  </si>
  <si>
    <t xml:space="preserve">Reg 5(b)(i) funds get the lighter Category I-equivalent set.</t>
  </si>
  <si>
    <t xml:space="preserve">Regulated funds still go through KYC.</t>
  </si>
  <si>
    <t xml:space="preserve">Indian KYC rules set the documentation, not home rules.</t>
  </si>
  <si>
    <t xml:space="preserve">SEBI Operational Guidelines for FPIs and DDPs, Part B 1, note (iii)</t>
  </si>
  <si>
    <t xml:space="preserve">FPI Category – II registered under Regulation 5(b)(i), shall provide KYC documentation equivalent to FPI Category - I. However, BO details need to be provided in specified format.</t>
  </si>
  <si>
    <t xml:space="preserve">Op. Guidelines Part B 1 (note iii)</t>
  </si>
  <si>
    <t xml:space="preserve">KYC/DOC/224</t>
  </si>
  <si>
    <t xml:space="preserve">No board resolution on file</t>
  </si>
  <si>
    <t xml:space="preserve">Missing</t>
  </si>
  <si>
    <t xml:space="preserve">Board resolution and authorised signatory list</t>
  </si>
  <si>
    <t xml:space="preserve">Instead</t>
  </si>
  <si>
    <t xml:space="preserve">Power of attorney to its global custodian; instructions sent by SWIFT</t>
  </si>
  <si>
    <t xml:space="preserve">Can we proceed?</t>
  </si>
  <si>
    <t xml:space="preserve">Can the DDP proceed?</t>
  </si>
  <si>
    <t xml:space="preserve">No. A board resolution is mandatory</t>
  </si>
  <si>
    <t xml:space="preserve">Yes. A power of attorney and SWIFT cover it</t>
  </si>
  <si>
    <t xml:space="preserve">Only if the resolution follows within 30 days</t>
  </si>
  <si>
    <t xml:space="preserve">Only for Category II</t>
  </si>
  <si>
    <t xml:space="preserve">A power of attorney granted to the global or local custodian is accepted in place of a board resolution, and the board resolution and authorised signatory list aren't required if SWIFT is used for instructions.</t>
  </si>
  <si>
    <t xml:space="preserve">The guidelines accept substitutes for the resolution.</t>
  </si>
  <si>
    <t xml:space="preserve">No later submission is required.</t>
  </si>
  <si>
    <t xml:space="preserve">The relief isn't limited to Category II.</t>
  </si>
  <si>
    <t xml:space="preserve">SEBI Operational Guidelines for FPIs and DDPs, Part B 1, Table 4 note 2</t>
  </si>
  <si>
    <t xml:space="preserve">Power of Attorney granted to Global custodian/ local custodian is accepted in lieu of Board Resolution (BR). BR and the authorized signatory list (ASL) is not required if SWIFT is used as a medium of instruction.</t>
  </si>
  <si>
    <t xml:space="preserve">Op. Guidelines Part B 1 (Table 4 note 2)</t>
  </si>
  <si>
    <t xml:space="preserve">KYC/REL/225</t>
  </si>
  <si>
    <t xml:space="preserve">Relying on the global custodian's KYC</t>
  </si>
  <si>
    <t xml:space="preserve">Part of the same banking group as the FPI's global custodian</t>
  </si>
  <si>
    <t xml:space="preserve">Global custodian</t>
  </si>
  <si>
    <t xml:space="preserve">Regulated in a FATF country; did KYC to home standards</t>
  </si>
  <si>
    <t xml:space="preserve">Rely on that KYC for non-PAN documents</t>
  </si>
  <si>
    <t xml:space="preserve">Offered</t>
  </si>
  <si>
    <t xml:space="preserve">What must the local custodian still do?</t>
  </si>
  <si>
    <t xml:space="preserve">Nothing more; reliance covers everything</t>
  </si>
  <si>
    <t xml:space="preserve">Collect constitution and BO papers; log it on the KRA</t>
  </si>
  <si>
    <t xml:space="preserve">Redo all of the KYC from scratch itself</t>
  </si>
  <si>
    <t xml:space="preserve">Get SEBI approval for the reliance</t>
  </si>
  <si>
    <t xml:space="preserve">For non-PAN KYC documents, a local custodian can rely on KYC by a same-group regulated entity from a FATF country, with an undertaking to produce documents on demand. It must still collect constitution documents and BO declarations, and upload evidence of the reliance to the KRA.</t>
  </si>
  <si>
    <t xml:space="preserve">Reliance doesn't cover constitution documents, BO declarations or KRA upload.</t>
  </si>
  <si>
    <t xml:space="preserve">Reliance is allowed, so full re-KYC isn't needed.</t>
  </si>
  <si>
    <t xml:space="preserve">SEBI Operational Guidelines for FPIs and DDPs, Part B 1, note (iv)</t>
  </si>
  <si>
    <t xml:space="preserve">For non-PAN related KYC documents (including KYC form), a local custodian can rely on KYC carried out by another entity of the same financial group (like a Global Custodian or Investment Manager) which is regulated and coming from an FATF member country, where KYC is carried out as per their home jurisdiction standards. Where this reliance is placed, such entity/ FPI shall provide an undertaking to the effect that the relevant KYC documents, would be submitted to the DDP/ Local Custodian when required by regulator/law enforcement agency/ government departments/ tax authority, etc. However, the Custodian / local intermediary will be required to collect constitution documents and BO related declarations (wherever applicable) of the FPI and also, upload the evidence of KYC reliance on KRA.</t>
  </si>
  <si>
    <t xml:space="preserve">Op. Guidelines Part B 1 (note iv)</t>
  </si>
  <si>
    <t xml:space="preserve">KYC/DOC/226</t>
  </si>
  <si>
    <t xml:space="preserve">Prospectus instead of a constitution</t>
  </si>
  <si>
    <t xml:space="preserve">Open-ended fund</t>
  </si>
  <si>
    <t xml:space="preserve">Constitutive document</t>
  </si>
  <si>
    <t xml:space="preserve">Not available as a separate official document</t>
  </si>
  <si>
    <t xml:space="preserve">Its prospectus</t>
  </si>
  <si>
    <t xml:space="preserve">Unsure</t>
  </si>
  <si>
    <t xml:space="preserve">Is the prospectus acceptable?</t>
  </si>
  <si>
    <t xml:space="preserve">No. Only official constitutive documents are accepted</t>
  </si>
  <si>
    <t xml:space="preserve">Yes. A prospectus is accepted</t>
  </si>
  <si>
    <t xml:space="preserve">Only if notarised in India</t>
  </si>
  <si>
    <t xml:space="preserve">Only for Category I</t>
  </si>
  <si>
    <t xml:space="preserve">A prospectus or information memorandum is acceptable in lieu of an official constitutional document.</t>
  </si>
  <si>
    <t xml:space="preserve">The guidelines accept a prospectus as a substitute.</t>
  </si>
  <si>
    <t xml:space="preserve">There's no Indian notarisation requirement here.</t>
  </si>
  <si>
    <t xml:space="preserve">It isn't limited to Category I.</t>
  </si>
  <si>
    <t xml:space="preserve">SEBI Operational Guidelines for FPIs and DDPs, Part B 1, note (v)</t>
  </si>
  <si>
    <t xml:space="preserve">Prospectus and Information Memorandum are acceptable in lieu of an official constitutional document.</t>
  </si>
  <si>
    <t xml:space="preserve">Op. Guidelines Part B 1 (note v)</t>
  </si>
  <si>
    <t xml:space="preserve">KYC/PAN/227</t>
  </si>
  <si>
    <t xml:space="preserve">PAN for signatories and owners</t>
  </si>
  <si>
    <t xml:space="preserve">DDP request</t>
  </si>
  <si>
    <t xml:space="preserve">PAN cards for every signatory, UBO and senior manager</t>
  </si>
  <si>
    <t xml:space="preserve">Has a PAN for the fund only</t>
  </si>
  <si>
    <t xml:space="preserve">Is the request right?</t>
  </si>
  <si>
    <t xml:space="preserve">What's required?</t>
  </si>
  <si>
    <t xml:space="preserve">PAN for every listed person</t>
  </si>
  <si>
    <t xml:space="preserve">PAN for the FPI only</t>
  </si>
  <si>
    <t xml:space="preserve">No PAN at all for Category II</t>
  </si>
  <si>
    <t xml:space="preserve">PAN for each UBO above 25%</t>
  </si>
  <si>
    <t xml:space="preserve">The FPI needs a PAN, which can be verified online or provided as an e-PAN without certification. PAN isn't mandatory for the FPI's UBOs, senior management or authorised signatories.</t>
  </si>
  <si>
    <t xml:space="preserve">The guidelines say PAN isn't mandatory for these individuals.</t>
  </si>
  <si>
    <t xml:space="preserve">Every FPI needs its own PAN, Category II included.</t>
  </si>
  <si>
    <t xml:space="preserve">There's no UBO PAN requirement at any threshold.</t>
  </si>
  <si>
    <t xml:space="preserve">SEBI Operational Guidelines for FPIs and DDPs, Part B 1, note (vii)</t>
  </si>
  <si>
    <t xml:space="preserve">Intermediary can verify the PAN of FPIs online from website authorized by the Income-Tax department. To clarify no certification of PAN document required from FPI. Alternatively, e-PAN issued by CBDT can also be produced by FPI for KYC compliance without requiring any certifications. In such situations where the broker is relying on KRA, it shall verify the PAN and download the available documents from KRA. PAN is not mandatory for UBO, senior management and authorized signatories of FPI.</t>
  </si>
  <si>
    <t xml:space="preserve">Op. Guidelines Part B 1 (note vii); FPI Regs 2019, Reg 22(1)(f)</t>
  </si>
  <si>
    <t xml:space="preserve">KYC/BO/228</t>
  </si>
  <si>
    <t xml:space="preserve">Intermediate owner is a sovereign fund</t>
  </si>
  <si>
    <t xml:space="preserve">40% held by a holding company</t>
  </si>
  <si>
    <t xml:space="preserve">Holding company</t>
  </si>
  <si>
    <t xml:space="preserve">Eligible for Category I under Reg 5(a)(i)</t>
  </si>
  <si>
    <t xml:space="preserve">DDP plan</t>
  </si>
  <si>
    <t xml:space="preserve">Look through the holding company to its natural persons</t>
  </si>
  <si>
    <t xml:space="preserve">Does the DDP need to look further through the holding company?</t>
  </si>
  <si>
    <t xml:space="preserve">Yes. Always look through to the natural persons</t>
  </si>
  <si>
    <t xml:space="preserve">No. That holding company is carved out</t>
  </si>
  <si>
    <t xml:space="preserve">Only if it holds over 50%</t>
  </si>
  <si>
    <t xml:space="preserve">Only if the jurisdiction is high risk</t>
  </si>
  <si>
    <t xml:space="preserve">BO identification uses a look-through basis for material intermediate owners. Where the intermediate owner is eligible as a Category I FPI under Reg 5(a)(i), no further identification of its beneficial owners is needed.</t>
  </si>
  <si>
    <t xml:space="preserve">The guidelines carve out Reg 5(a)(i) intermediate owners.</t>
  </si>
  <si>
    <t xml:space="preserve">The carve-out doesn't depend on a 50% holding.</t>
  </si>
  <si>
    <t xml:space="preserve">Jurisdiction risk doesn't change this carve-out.</t>
  </si>
  <si>
    <t xml:space="preserve">SEBI Operational Guidelines for FPIs and DDPs, Part B 4(v)</t>
  </si>
  <si>
    <t xml:space="preserve">In case the intermediate shareholder/ owner entity is eligible for registration as Category I FPI under Regulation 5(a)(i), there is no need for further identification and verification of beneficial owner of such intermediate shareholder/ owner entity.</t>
  </si>
  <si>
    <t xml:space="preserve">Op. Guidelines Part B 4(v)</t>
  </si>
  <si>
    <t xml:space="preserve">KYC/BO/229</t>
  </si>
  <si>
    <t xml:space="preserve">Shares held by a law firm</t>
  </si>
  <si>
    <t xml:space="preserve">Company whose shares are registered to a law firm</t>
  </si>
  <si>
    <t xml:space="preserve">Law firm role</t>
  </si>
  <si>
    <t xml:space="preserve">Holds as nominee for clients</t>
  </si>
  <si>
    <t xml:space="preserve">BO list submitted</t>
  </si>
  <si>
    <t xml:space="preserve">Names the law firm's partners</t>
  </si>
  <si>
    <t xml:space="preserve">Reviewing</t>
  </si>
  <si>
    <t xml:space="preserve">Is the BO list acceptable?</t>
  </si>
  <si>
    <t xml:space="preserve">Yes. The registered holders are the beneficial owners</t>
  </si>
  <si>
    <t xml:space="preserve">No. The real owners must be named</t>
  </si>
  <si>
    <t xml:space="preserve">Yes, if the law firm is regulated</t>
  </si>
  <si>
    <t xml:space="preserve">Only if the partners sign an undertaking</t>
  </si>
  <si>
    <t xml:space="preserve">Where companies or trusts are represented by service providers such as lawyers or accountants, the FPI must give details of the real owners or effective controllers. A BO can't be a nominee of another person.</t>
  </si>
  <si>
    <t xml:space="preserve">Nominees aren't beneficial owners.</t>
  </si>
  <si>
    <t xml:space="preserve">Regulation of the law firm doesn't change this.</t>
  </si>
  <si>
    <t xml:space="preserve">An undertaking doesn't replace identifying the real owners.</t>
  </si>
  <si>
    <t xml:space="preserve">SEBI Operational Guidelines for FPIs and DDPs, Part B 4(vii)</t>
  </si>
  <si>
    <t xml:space="preserve">In case of companies/ trusts represented by service providers like lawyers/ accountants, FPIs should provide information of the real owners/ effective controllers of those companies / trusts. If the BO exercises controls through means like voting rights, agreements, arrangement etc., that should also be specified. It is clarified that BO should not be a nominee of another person and real BO should be identified.</t>
  </si>
  <si>
    <t xml:space="preserve">Op. Guidelines Part B 4(vii)</t>
  </si>
  <si>
    <t xml:space="preserve">KYC/BO/230</t>
  </si>
  <si>
    <t xml:space="preserve">Beneficial owners of a limited partnership</t>
  </si>
  <si>
    <t xml:space="preserve">Limited partnership fund</t>
  </si>
  <si>
    <t xml:space="preserve">General partner</t>
  </si>
  <si>
    <t xml:space="preserve">Controls all decisions; holds 1%</t>
  </si>
  <si>
    <t xml:space="preserve">Largest LP</t>
  </si>
  <si>
    <t xml:space="preserve">Holds 30% of commitments</t>
  </si>
  <si>
    <t xml:space="preserve">Deciding how to identify BOs</t>
  </si>
  <si>
    <t xml:space="preserve">On what basis are BOs identified?</t>
  </si>
  <si>
    <t xml:space="preserve">Ownership only, so the general partner is ignored</t>
  </si>
  <si>
    <t xml:space="preserve">Both ownership or entitlement and control</t>
  </si>
  <si>
    <t xml:space="preserve">Control only, so only the general partner</t>
  </si>
  <si>
    <t xml:space="preserve">Whoever signed the subscription agreement</t>
  </si>
  <si>
    <t xml:space="preserve">For FPIs with a general partner and limited partnership structure, beneficial owners are identified on both an ownership or entitlement basis and a control basis.</t>
  </si>
  <si>
    <t xml:space="preserve">Control matters too, so the general partner can't be ignored.</t>
  </si>
  <si>
    <t xml:space="preserve">Ownership matters too, so large LPs count.</t>
  </si>
  <si>
    <t xml:space="preserve">Signing the subscription agreement doesn't define BO status.</t>
  </si>
  <si>
    <t xml:space="preserve">BOs of FPIs having General Partner/Limited Partnership structure shall be identified on ownership or entitlement basis and control basis.</t>
  </si>
  <si>
    <t xml:space="preserve">Op. Guidelines Part B 4(ii)</t>
  </si>
  <si>
    <t xml:space="preserve">KYC/REV/231</t>
  </si>
  <si>
    <t xml:space="preserve">How often to review KYC</t>
  </si>
  <si>
    <t xml:space="preserve">Category II unregulated corporate body</t>
  </si>
  <si>
    <t xml:space="preserve">Not high risk</t>
  </si>
  <si>
    <t xml:space="preserve">Review every three years at continuance</t>
  </si>
  <si>
    <t xml:space="preserve">Is three years right?</t>
  </si>
  <si>
    <t xml:space="preserve">What's the review cycle?</t>
  </si>
  <si>
    <t xml:space="preserve">Every three years, at continuance</t>
  </si>
  <si>
    <t xml:space="preserve">Annually</t>
  </si>
  <si>
    <t xml:space="preserve">Every ten years</t>
  </si>
  <si>
    <t xml:space="preserve">Only when something changes</t>
  </si>
  <si>
    <t xml:space="preserve">Under the guidelines' review table, Category II regulated entities are reviewed at continuance (every three years), while other Category II FPIs are reviewed annually. SWAGAT-FIs and GS-FPIs follow their own later rules.</t>
  </si>
  <si>
    <t xml:space="preserve">Three years applies to regulated Category II entities, not this one.</t>
  </si>
  <si>
    <t xml:space="preserve">Ten years is the SWAGAT-FI cycle.</t>
  </si>
  <si>
    <t xml:space="preserve">Reviews are periodic, not just event-driven.</t>
  </si>
  <si>
    <t xml:space="preserve">SEBI Operational Guidelines for FPIs and DDPs, Part B 5, Table 6 (table reformatted)</t>
  </si>
  <si>
    <t xml:space="preserve">Periodic KYC review (Table 6). FPI Category I, high-risk jurisdiction: registered under Regulation 5(a)(i), during continuance of registration i.e. every 3 years; others, annually. FPI Category I, non-high-risk: during continuance of registration i.e. every 3 years. FPI Category II: regulated entities during continuance of registration i.e. every 3 years; others, annually.</t>
  </si>
  <si>
    <t xml:space="preserve">Op. Guidelines Part B 5 (Table 6)</t>
  </si>
  <si>
    <t xml:space="preserve">KYC/DOC/232</t>
  </si>
  <si>
    <t xml:space="preserve">Certificate in Japanese</t>
  </si>
  <si>
    <t xml:space="preserve">Japanese pension fund</t>
  </si>
  <si>
    <t xml:space="preserve">Proof of identity</t>
  </si>
  <si>
    <t xml:space="preserve">Issued in Japanese</t>
  </si>
  <si>
    <t xml:space="preserve">Is it acceptable as is?</t>
  </si>
  <si>
    <t xml:space="preserve">Other documents</t>
  </si>
  <si>
    <t xml:space="preserve">In English</t>
  </si>
  <si>
    <t xml:space="preserve">Nothing; any language works</t>
  </si>
  <si>
    <t xml:space="preserve">An English translation</t>
  </si>
  <si>
    <t xml:space="preserve">A Hindi translation</t>
  </si>
  <si>
    <t xml:space="preserve">A fresh document issued in English by the regulator</t>
  </si>
  <si>
    <t xml:space="preserve">If any proof of identity or address is in a foreign language, a translation into English is required.</t>
  </si>
  <si>
    <t xml:space="preserve">The guidelines require translation for foreign-language documents.</t>
  </si>
  <si>
    <t xml:space="preserve">The requirement is English, not Hindi.</t>
  </si>
  <si>
    <t xml:space="preserve">A translation suffices; reissue isn't required.</t>
  </si>
  <si>
    <t xml:space="preserve">SEBI Operational Guidelines for FPIs and DDPs, Part B 8(ii)</t>
  </si>
  <si>
    <t xml:space="preserve">If any proof of identity or address is in a foreign language, then translation into English is required.</t>
  </si>
  <si>
    <t xml:space="preserve">Op. Guidelines Part B 8(ii)</t>
  </si>
  <si>
    <t xml:space="preserve">KYC/DOC/233</t>
  </si>
  <si>
    <t xml:space="preserve">How recent must address proof be?</t>
  </si>
  <si>
    <t xml:space="preserve">Individual Category II investor</t>
  </si>
  <si>
    <t xml:space="preserve">Electricity bill dated three months ago</t>
  </si>
  <si>
    <t xml:space="preserve">Alternative</t>
  </si>
  <si>
    <t xml:space="preserve">Bank statement dated ten weeks ago</t>
  </si>
  <si>
    <t xml:space="preserve">Checking validity</t>
  </si>
  <si>
    <t xml:space="preserve">Which can the DDP accept?</t>
  </si>
  <si>
    <t xml:space="preserve">Both of them</t>
  </si>
  <si>
    <t xml:space="preserve">The bank statement only</t>
  </si>
  <si>
    <t xml:space="preserve">The utility bill only</t>
  </si>
  <si>
    <t xml:space="preserve">Neither of them</t>
  </si>
  <si>
    <t xml:space="preserve">Utility bills used as address proof must be no more than two months old, and bank statements no more than three months old. Ten weeks is within three months, so the statement works.</t>
  </si>
  <si>
    <t xml:space="preserve">The utility bill is over the two-month limit.</t>
  </si>
  <si>
    <t xml:space="preserve">It's the other way round.</t>
  </si>
  <si>
    <t xml:space="preserve">The bank statement is within its three-month limit.</t>
  </si>
  <si>
    <t xml:space="preserve">SEBI Operational Guidelines for FPIs and DDPs, Part B 9(B)</t>
  </si>
  <si>
    <t xml:space="preserve">Utility bills like Telephone Bill, Electricity bill or Gas bill - Not more than 2 months old. Bank Account Statement/Passbook/letter -- Not more than 3 months old.</t>
  </si>
  <si>
    <t xml:space="preserve">Op. Guidelines Part B 9(B)</t>
  </si>
  <si>
    <t xml:space="preserve">KYC/DOC/234</t>
  </si>
  <si>
    <t xml:space="preserve">Who can attest copies?</t>
  </si>
  <si>
    <t xml:space="preserve">Originals</t>
  </si>
  <si>
    <t xml:space="preserve">Not available for verification</t>
  </si>
  <si>
    <t xml:space="preserve">Copies attested by</t>
  </si>
  <si>
    <t xml:space="preserve">Its own company secretary</t>
  </si>
  <si>
    <t xml:space="preserve">Checking</t>
  </si>
  <si>
    <t xml:space="preserve">Are the copies acceptable?</t>
  </si>
  <si>
    <t xml:space="preserve">Yes. Any of its own officers can attest copies</t>
  </si>
  <si>
    <t xml:space="preserve">No. Only a notary or authorised bank official</t>
  </si>
  <si>
    <t xml:space="preserve">Yes, if the FPI self-certifies too</t>
  </si>
  <si>
    <t xml:space="preserve">Only if apostilled in India</t>
  </si>
  <si>
    <t xml:space="preserve">Where originals aren't produced, copies must be attested by authorised persons: a notary public, or officials of multinational foreign banks or banks regulated by RBI, with name, designation and seal.</t>
  </si>
  <si>
    <t xml:space="preserve">An in-house officer isn't an authorised attester.</t>
  </si>
  <si>
    <t xml:space="preserve">Self-certification is no longer required, and doesn't replace attestation.</t>
  </si>
  <si>
    <t xml:space="preserve">Indian apostille isn't the stated route.</t>
  </si>
  <si>
    <t xml:space="preserve">SEBI Operational Guidelines for FPIs and DDPs, Part B 8(i)</t>
  </si>
  <si>
    <t xml:space="preserve">Copies of all the documents submitted by the applicant should be accompanied by originals for verification. In case the original of any document is not produced for verification, then the copies should be properly attested by entities authorized for attesting the documents.</t>
  </si>
  <si>
    <t xml:space="preserve">SEBI Operational Guidelines for FPIs and DDPs, Part B 8(viii)</t>
  </si>
  <si>
    <t xml:space="preserve">List of people authorized to attest the documents: Notary Public, officials of Multinational Foreign Banks or any Bank regulated by Reserve Bank of India (Name, Designation &amp; Seal should be affixed on the copy).</t>
  </si>
  <si>
    <t xml:space="preserve">Op. Guidelines Part B 8(i), (viii)</t>
  </si>
  <si>
    <t xml:space="preserve">KYC/IPV/235</t>
  </si>
  <si>
    <t xml:space="preserve">In-person verification for a fund</t>
  </si>
  <si>
    <t xml:space="preserve">Luxembourg fund</t>
  </si>
  <si>
    <t xml:space="preserve">Arrange in-person verification of the fund</t>
  </si>
  <si>
    <t xml:space="preserve">Individuals involved</t>
  </si>
  <si>
    <t xml:space="preserve">Directors abroad</t>
  </si>
  <si>
    <t xml:space="preserve">Is IPV needed?</t>
  </si>
  <si>
    <t xml:space="preserve">Does in-person verification apply?</t>
  </si>
  <si>
    <t xml:space="preserve">Yes, for every FPI applicant</t>
  </si>
  <si>
    <t xml:space="preserve">No. Not for non-individual clients</t>
  </si>
  <si>
    <t xml:space="preserve">Yes, by video for each director</t>
  </si>
  <si>
    <t xml:space="preserve">Only if the fund is Category II</t>
  </si>
  <si>
    <t xml:space="preserve">In-person verification isn't applicable for non-individual clients. For individual clients, it can be done by web camera.</t>
  </si>
  <si>
    <t xml:space="preserve">IPV doesn't apply to non-individuals.</t>
  </si>
  <si>
    <t xml:space="preserve">Video IPV is for individual clients.</t>
  </si>
  <si>
    <t xml:space="preserve">Category doesn't change this.</t>
  </si>
  <si>
    <t xml:space="preserve">SEBI Operational Guidelines for FPIs and DDPs, Part B 8(vi)</t>
  </si>
  <si>
    <t xml:space="preserve">In person verification is not applicable for a non-individual Client. IPV for individual clients through web camera shall be allowed.</t>
  </si>
  <si>
    <t xml:space="preserve">Op. Guidelines Part B 8(vi)</t>
  </si>
  <si>
    <t xml:space="preserve">KYC/REC/236</t>
  </si>
  <si>
    <t xml:space="preserve">Keeping KYC after the client leaves</t>
  </si>
  <si>
    <t xml:space="preserve">Custodian</t>
  </si>
  <si>
    <t xml:space="preserve">Closing an FPI's account in 2026</t>
  </si>
  <si>
    <t xml:space="preserve">Litigation</t>
  </si>
  <si>
    <t xml:space="preserve">A tax case involving the FPI is pending</t>
  </si>
  <si>
    <t xml:space="preserve">How long to keep KYC records?</t>
  </si>
  <si>
    <t xml:space="preserve">One year after the account is closed</t>
  </si>
  <si>
    <t xml:space="preserve">Five years from cessation, or until the case ends</t>
  </si>
  <si>
    <t xml:space="preserve">Until the next audit</t>
  </si>
  <si>
    <t xml:space="preserve">They can be destroyed at closure</t>
  </si>
  <si>
    <t xml:space="preserve">The custodian keeps KYC records in original for at least five years from the date transactions with the FPI cease. If litigation is pending, records are kept until proceedings end.</t>
  </si>
  <si>
    <t xml:space="preserve">Audits don't set the retention period.</t>
  </si>
  <si>
    <t xml:space="preserve">Records must be kept after closure.</t>
  </si>
  <si>
    <t xml:space="preserve">SEBI Operational Guidelines for FPIs and DDPs, Part B 7</t>
  </si>
  <si>
    <t xml:space="preserve">The Custodian should maintain the KYC records in original for a minimum period of five years from the date of cessation of the transactions with the said FPI. In case any litigation is pending, these records should be maintained till the completion of the proceedings.</t>
  </si>
  <si>
    <t xml:space="preserve">Op. Guidelines Part B 7</t>
  </si>
  <si>
    <t xml:space="preserve">KYC/KRA/237</t>
  </si>
  <si>
    <t xml:space="preserve">Downloading an FPI's KYC from the KRA</t>
  </si>
  <si>
    <t xml:space="preserve">A stock broker onboarding an FPI</t>
  </si>
  <si>
    <t xml:space="preserve">KRA setting</t>
  </si>
  <si>
    <t xml:space="preserve">Download consent flag: Yes (the default)</t>
  </si>
  <si>
    <t xml:space="preserve">Broker wants</t>
  </si>
  <si>
    <t xml:space="preserve">The FPI's KYC and UBO details</t>
  </si>
  <si>
    <t xml:space="preserve">What happens?</t>
  </si>
  <si>
    <t xml:space="preserve">How does the download work?</t>
  </si>
  <si>
    <t xml:space="preserve">Immediate download; the flag is only informational</t>
  </si>
  <si>
    <t xml:space="preserve">It needs the FPI representative's consent first</t>
  </si>
  <si>
    <t xml:space="preserve">The broker must ask SEBI</t>
  </si>
  <si>
    <t xml:space="preserve">Downloads are blocked permanently</t>
  </si>
  <si>
    <t xml:space="preserve">With the consent flag set to Yes (the default), the KRA emails the FPI's authorised representative a link to approve or reject, tells the broker the request was sent, and permits download once consent arrives.</t>
  </si>
  <si>
    <t xml:space="preserve">Yes means consent is required first.</t>
  </si>
  <si>
    <t xml:space="preserve">SEBI isn't involved in KRA downloads.</t>
  </si>
  <si>
    <t xml:space="preserve">Downloads are allowed once the FPI consents.</t>
  </si>
  <si>
    <t xml:space="preserve">SEBI Operational Guidelines for FPIs and DDPs, Part B 6</t>
  </si>
  <si>
    <t xml:space="preserve">Where Download Consent Flag is “Yes”, an email with the consent link with decision tab “Approve” or “Reject”, will be sent to the authorised representative of FPI (as per the details updated in “a” above) , requesting their consent to provide the KYC records to the requesting intermediary. d. KRA will send an email to the requesting intermediary that consent request email has been sent to the authorised representative of the FPI, to enable them to follow up for the consent. e. KRA will permit download of KYC records and information once the consent is received from the authorised representative of the FPI.</t>
  </si>
  <si>
    <t xml:space="preserve">Op. Guidelines Part B 6</t>
  </si>
  <si>
    <t xml:space="preserve">KYC/DOC/238</t>
  </si>
  <si>
    <t xml:space="preserve">Tax forms at account opening</t>
  </si>
  <si>
    <t xml:space="preserve">FATCA/CRS self-certification</t>
  </si>
  <si>
    <t xml:space="preserve">Send it after the first trade</t>
  </si>
  <si>
    <t xml:space="preserve">Deciding</t>
  </si>
  <si>
    <t xml:space="preserve">When is FATCA/CRS documentation needed?</t>
  </si>
  <si>
    <t xml:space="preserve">Within 90 days of the first trade</t>
  </si>
  <si>
    <t xml:space="preserve">At the time of account opening</t>
  </si>
  <si>
    <t xml:space="preserve">Only at continuance</t>
  </si>
  <si>
    <t xml:space="preserve">Valid FATCA/CRS documentation must be submitted at the time of account opening.</t>
  </si>
  <si>
    <t xml:space="preserve">It's needed at account opening, not later.</t>
  </si>
  <si>
    <t xml:space="preserve">It's needed at opening, not only at continuance.</t>
  </si>
  <si>
    <t xml:space="preserve">It applies to both categories.</t>
  </si>
  <si>
    <t xml:space="preserve">SEBI Operational Guidelines for FPIs and DDPs, Part B 1, note (vi)</t>
  </si>
  <si>
    <t xml:space="preserve">Valid FATCA / CRS documentations is required to be submitted at the time of account opening.</t>
  </si>
  <si>
    <t xml:space="preserve">Op. Guidelines Part B 1 (note vi)</t>
  </si>
  <si>
    <t xml:space="preserve">KYC/PAN/239</t>
  </si>
  <si>
    <t xml:space="preserve">PAN for a UN agency</t>
  </si>
  <si>
    <t xml:space="preserve">UN specialised agency</t>
  </si>
  <si>
    <t xml:space="preserve">Tax status</t>
  </si>
  <si>
    <t xml:space="preserve">Exempt from paying taxes and filing returns in India</t>
  </si>
  <si>
    <t xml:space="preserve">Please obtain a PAN</t>
  </si>
  <si>
    <t xml:space="preserve">Agency</t>
  </si>
  <si>
    <t xml:space="preserve">Asks if it's needed</t>
  </si>
  <si>
    <t xml:space="preserve">Is a PAN mandatory?</t>
  </si>
  <si>
    <t xml:space="preserve">Yes. Every FPI needs its own PAN</t>
  </si>
  <si>
    <t xml:space="preserve">No. Tax-exempt UN entities are carved out</t>
  </si>
  <si>
    <t xml:space="preserve">Only if it trades equity</t>
  </si>
  <si>
    <t xml:space="preserve">Only after its first year</t>
  </si>
  <si>
    <t xml:space="preserve">PAN isn't mandatory for UN entities or multilateral agencies exempt from paying taxes or filing tax returns in India.</t>
  </si>
  <si>
    <t xml:space="preserve">The guidelines carve out exempt UN and multilateral entities.</t>
  </si>
  <si>
    <t xml:space="preserve">The exemption doesn't depend on asset class.</t>
  </si>
  <si>
    <t xml:space="preserve">There's no one-year rule.</t>
  </si>
  <si>
    <t xml:space="preserve">SEBI Operational Guidelines for FPIs and DDPs, Part B 1, note (viii)</t>
  </si>
  <si>
    <t xml:space="preserve">PAN is not mandatory for UN entities/multilateral agencies exempt from paying taxes/filing tax returns in India.</t>
  </si>
  <si>
    <t xml:space="preserve">Op. Guidelines Part B 1 (note viii)</t>
  </si>
  <si>
    <t xml:space="preserve">DDP/APP/301</t>
  </si>
  <si>
    <t xml:space="preserve">Who approves a DDP?</t>
  </si>
  <si>
    <t xml:space="preserve">Custodian bank wanting to become a DDP</t>
  </si>
  <si>
    <t xml:space="preserve">Belief</t>
  </si>
  <si>
    <t xml:space="preserve">NSDL grants DDP approval</t>
  </si>
  <si>
    <t xml:space="preserve">Being prepared</t>
  </si>
  <si>
    <t xml:space="preserve">Who decides?</t>
  </si>
  <si>
    <t xml:space="preserve">Who grants approval?</t>
  </si>
  <si>
    <t xml:space="preserve">NSDL, as the depository</t>
  </si>
  <si>
    <t xml:space="preserve">SEBI</t>
  </si>
  <si>
    <t xml:space="preserve">RBI, as banking regulator</t>
  </si>
  <si>
    <t xml:space="preserve">The stock exchanges</t>
  </si>
  <si>
    <t xml:space="preserve">No person can act as a DDP without SEBI's approval. The application goes through the depository, which forwards it with a recommendation, but SEBI decides.</t>
  </si>
  <si>
    <t xml:space="preserve">The depository forwards and recommends; it doesn't approve.</t>
  </si>
  <si>
    <t xml:space="preserve">DDP approval sits with SEBI, not RBI.</t>
  </si>
  <si>
    <t xml:space="preserve">Exchanges have no role in DDP approval.</t>
  </si>
  <si>
    <t xml:space="preserve">SEBI (FPI) Regulations, 2019, Regulation 10(1)</t>
  </si>
  <si>
    <t xml:space="preserve">10. (1) No person shall act as a designated depository participant unless it has obtained the approval of the Board.</t>
  </si>
  <si>
    <t xml:space="preserve">FPI Regs 2019, Reg 10(1)–(3), Reg 13(1)</t>
  </si>
  <si>
    <t xml:space="preserve">DDP/APP/302</t>
  </si>
  <si>
    <t xml:space="preserve">No foreign branches</t>
  </si>
  <si>
    <t xml:space="preserve">Indian AD Category-1 bank, registered DP and custodian</t>
  </si>
  <si>
    <t xml:space="preserve">Overseas presence</t>
  </si>
  <si>
    <t xml:space="preserve">Agency agreements with regulated custodians in 30 countries</t>
  </si>
  <si>
    <t xml:space="preserve">Does it meet the multinational-presence test?</t>
  </si>
  <si>
    <t xml:space="preserve">Does it qualify on this test?</t>
  </si>
  <si>
    <t xml:space="preserve">No. It needs its own foreign branches to qualify</t>
  </si>
  <si>
    <t xml:space="preserve">Yes. Regulated agency ties count</t>
  </si>
  <si>
    <t xml:space="preserve">Only with branches in at least five countries</t>
  </si>
  <si>
    <t xml:space="preserve">Only if SEBI waives the test</t>
  </si>
  <si>
    <t xml:space="preserve">Reg 11(1)(d) requires a multinational presence either through branches or through agency relationships with overseas intermediaries regulated in their home jurisdictions.</t>
  </si>
  <si>
    <t xml:space="preserve">Branches are one way; regulated agency relationships are the other.</t>
  </si>
  <si>
    <t xml:space="preserve">The regulation sets no branch count.</t>
  </si>
  <si>
    <t xml:space="preserve">No waiver is needed; the test is met.</t>
  </si>
  <si>
    <t xml:space="preserve">SEBI (FPI) Regulations, 2019, Regulation 11(1)(d)</t>
  </si>
  <si>
    <t xml:space="preserve">(d) the applicant has a multinational presence, either through its branches or through agency relationships with overseas intermediaries regulated in their respective home jurisdictions;</t>
  </si>
  <si>
    <t xml:space="preserve">FPI Regs 2019, Reg 11(1)(d)</t>
  </si>
  <si>
    <t xml:space="preserve">DDP/APP/303</t>
  </si>
  <si>
    <t xml:space="preserve">SEBI's clock on a DDP application</t>
  </si>
  <si>
    <t xml:space="preserve">Application on 1 June</t>
  </si>
  <si>
    <t xml:space="preserve">SEBI asked for</t>
  </si>
  <si>
    <t xml:space="preserve">Further information on 15 June</t>
  </si>
  <si>
    <t xml:space="preserve">Received</t>
  </si>
  <si>
    <t xml:space="preserve">8 July</t>
  </si>
  <si>
    <t xml:space="preserve">Latest decision date</t>
  </si>
  <si>
    <t xml:space="preserve">By when should SEBI decide?</t>
  </si>
  <si>
    <t xml:space="preserve">1 July</t>
  </si>
  <si>
    <t xml:space="preserve">Within 30 days of 8 July</t>
  </si>
  <si>
    <t xml:space="preserve">Within 7 working days of 8 July</t>
  </si>
  <si>
    <t xml:space="preserve">There's no time limit</t>
  </si>
  <si>
    <t xml:space="preserve">SEBI disposes of a DDP application as soon as possible and no later than 30 days after receipt, or after the further information is furnished, whichever is later.</t>
  </si>
  <si>
    <t xml:space="preserve">The clock runs from the later date, when the information arrived.</t>
  </si>
  <si>
    <t xml:space="preserve">7 working days isn't the decision window.</t>
  </si>
  <si>
    <t xml:space="preserve">Reg 13(2) sets a 30-day limit.</t>
  </si>
  <si>
    <t xml:space="preserve">SEBI (FPI) Regulations, 2019, Regulation 13(2)</t>
  </si>
  <si>
    <t xml:space="preserve">(2) The Board shall dispose of the application for grant of approval as soon as possible but not later than thirty days after receipt of application by the Board or, after all the information called for under regulation 12 has been furnished, whichever is later.</t>
  </si>
  <si>
    <t xml:space="preserve">FPI Regs 2019, Reg 12, Reg 13(2)</t>
  </si>
  <si>
    <t xml:space="preserve">DDP/SUR/304</t>
  </si>
  <si>
    <t xml:space="preserve">DDP wants to give up its approval</t>
  </si>
  <si>
    <t xml:space="preserve">Exiting the custody business</t>
  </si>
  <si>
    <t xml:space="preserve">FPI clients</t>
  </si>
  <si>
    <t xml:space="preserve">120</t>
  </si>
  <si>
    <t xml:space="preserve">Surrender DDP approval</t>
  </si>
  <si>
    <t xml:space="preserve">What can SEBI do?</t>
  </si>
  <si>
    <t xml:space="preserve">What happens on surrender?</t>
  </si>
  <si>
    <t xml:space="preserve">Surrender takes effect on notice</t>
  </si>
  <si>
    <t xml:space="preserve">SEBI may accept it, with conditions</t>
  </si>
  <si>
    <t xml:space="preserve">Surrender isn't allowed while any clients remain</t>
  </si>
  <si>
    <t xml:space="preserve">Only RBI can accept it</t>
  </si>
  <si>
    <t xml:space="preserve">A DDP may ask SEBI to accept surrender of its approval. While accepting, SEBI may impose conditions it considers fit to protect investors, the DDP's clients or the securities market, and the DDP must comply.</t>
  </si>
  <si>
    <t xml:space="preserve">Surrender needs SEBI's acceptance.</t>
  </si>
  <si>
    <t xml:space="preserve">Surrender is allowed, subject to SEBI's conditions.</t>
  </si>
  <si>
    <t xml:space="preserve">SEBI, not RBI, handles DDP approvals.</t>
  </si>
  <si>
    <t xml:space="preserve">SEBI (FPI) Regulations, 2019, Regulation 18</t>
  </si>
  <si>
    <t xml:space="preserve">18. (1) Any designated depository participant, who has been granted approval under these regulations, desirous of surrendering the approval granted, may make a request for such surrender to the Board. (2) While accepting the surrender under sub-regulation (1), the Board may impose such conditions as it deems fit for the protection of investors or the clients of the designated depository participant or the securities market and such person shall comply with such conditions.</t>
  </si>
  <si>
    <t xml:space="preserve">FPI Regs 2019, Reg 18</t>
  </si>
  <si>
    <t xml:space="preserve">DDP/APP/305</t>
  </si>
  <si>
    <t xml:space="preserve">Incomplete DDP application</t>
  </si>
  <si>
    <t xml:space="preserve">Gap</t>
  </si>
  <si>
    <t xml:space="preserve">Missing details of its AML systems</t>
  </si>
  <si>
    <t xml:space="preserve">SEBI's view</t>
  </si>
  <si>
    <t xml:space="preserve">Application is deficient</t>
  </si>
  <si>
    <t xml:space="preserve">Can SEBI reject straight away?</t>
  </si>
  <si>
    <t xml:space="preserve">What must SEBI do before rejecting?</t>
  </si>
  <si>
    <t xml:space="preserve">Nothing; deficient applications are rejected outright</t>
  </si>
  <si>
    <t xml:space="preserve">Give it a fair chance to fix the gap</t>
  </si>
  <si>
    <t xml:space="preserve">Refer it back to the depository for a new recommendation</t>
  </si>
  <si>
    <t xml:space="preserve">Approve it provisionally</t>
  </si>
  <si>
    <t xml:space="preserve">A deficient DDP application is liable to be rejected, but before rejecting, SEBI gives the applicant a reasonable opportunity to remove the deficiency within the time it specifies.</t>
  </si>
  <si>
    <t xml:space="preserve">Reg 14 requires a chance to fix the deficiency first.</t>
  </si>
  <si>
    <t xml:space="preserve">The regulation doesn't require a fresh depository recommendation.</t>
  </si>
  <si>
    <t xml:space="preserve">There's no provisional approval.</t>
  </si>
  <si>
    <t xml:space="preserve">SEBI (FPI) Regulations, 2019, Regulation 14</t>
  </si>
  <si>
    <t xml:space="preserve">14. An application for grant of approval to act as designated depository participant which is not complete in all respects or is false or misleading in any material particular, shall be deemed to be deficient and shall be liable to be rejected by the Board: Provided that, before rejecting any such application, the applicant shall be given a reasonable opportunity to remove the deficiency, within the time as specified by the Board.</t>
  </si>
  <si>
    <t xml:space="preserve">FPI Regs 2019, Reg 14</t>
  </si>
  <si>
    <t xml:space="preserve">DDP/APP/306</t>
  </si>
  <si>
    <t xml:space="preserve">No anti-money-laundering systems</t>
  </si>
  <si>
    <t xml:space="preserve">Custodian bank, DP, AD Category-1</t>
  </si>
  <si>
    <t xml:space="preserve">No systems to comply with FATF standards and PMLA</t>
  </si>
  <si>
    <t xml:space="preserve">Build them after approval</t>
  </si>
  <si>
    <t xml:space="preserve">Eligible now?</t>
  </si>
  <si>
    <t xml:space="preserve">Yes; the systems can follow after approval</t>
  </si>
  <si>
    <t xml:space="preserve">No. The systems are a precondition</t>
  </si>
  <si>
    <t xml:space="preserve">Yes, if it hires a compliance officer</t>
  </si>
  <si>
    <t xml:space="preserve">Only for Category II clients</t>
  </si>
  <si>
    <t xml:space="preserve">Reg 11(1)(e) requires a DDP applicant to have systems and procedures to comply with FATF standards, PMLA and SEBI circulars before approval.</t>
  </si>
  <si>
    <t xml:space="preserve">The systems are a precondition, not a follow-up.</t>
  </si>
  <si>
    <t xml:space="preserve">A compliance officer alone doesn't meet the systems test.</t>
  </si>
  <si>
    <t xml:space="preserve">Eligibility applies to the DDP as a whole.</t>
  </si>
  <si>
    <t xml:space="preserve">SEBI (FPI) Regulations, 2019, Regulation 11(1)(e)</t>
  </si>
  <si>
    <t xml:space="preserve">(e) the applicant has systems and procedures to comply with the requirements of the Financial Action Task Force Standards, Prevention of Money Laundering Act, 2002, Rules prescribed thereunder and the circulars issued from time to time by the Board;</t>
  </si>
  <si>
    <t xml:space="preserve">FPI Regs 2019, Reg 11(1)(e)</t>
  </si>
  <si>
    <t xml:space="preserve">INV/ELG/401</t>
  </si>
  <si>
    <t xml:space="preserve">Which of these can't an FPI buy?</t>
  </si>
  <si>
    <t xml:space="preserve">Shortlist</t>
  </si>
  <si>
    <t xml:space="preserve">REIT units, Indian Depository Receipts, exchange-traded index futures, private unlisted company shares</t>
  </si>
  <si>
    <t xml:space="preserve">FPI account</t>
  </si>
  <si>
    <t xml:space="preserve">Which one is outside the FPI route?</t>
  </si>
  <si>
    <t xml:space="preserve">Which is not permitted through the FPI route?</t>
  </si>
  <si>
    <t xml:space="preserve">Units of a listed REIT</t>
  </si>
  <si>
    <t xml:space="preserve">Indian Depository Receipts</t>
  </si>
  <si>
    <t xml:space="preserve">Exchange-traded index futures</t>
  </si>
  <si>
    <t xml:space="preserve">Private unlisted company shares</t>
  </si>
  <si>
    <t xml:space="preserve">D</t>
  </si>
  <si>
    <t xml:space="preserve">Reg 20(1) lets FPIs invest in listed or to-be-listed shares, mutual fund units, CIS units, exchange-traded derivatives, REIT, InvIT and Category III AIF units, IDRs, and permitted debt. Private unlisted shares aren't on the list; buying them is FDI.</t>
  </si>
  <si>
    <t xml:space="preserve">REIT units are permitted under Reg 20(1)(e).</t>
  </si>
  <si>
    <t xml:space="preserve">Indian Depository Receipts are permitted under Reg 20(1)(f).</t>
  </si>
  <si>
    <t xml:space="preserve">Exchange-traded derivatives are permitted under Reg 20(1)(d).</t>
  </si>
  <si>
    <t xml:space="preserve">SEBI (FPI) Regulations, 2019, Regulation 20(1)</t>
  </si>
  <si>
    <t xml:space="preserve">20. (1) A foreign portfolio investor shall invest only in the following securities, namely (a) shares, debentures and warrants issued by a body corporate; listed or to be listed on a recognized stock exchange in India; (b) units of schemes launched by mutual funds under Chapter V, VI-A and VI-B of the Securities and Exchange Board of India (Mutual Fund) Regulations, 1996; (c) units of schemes floated by a Collective Investment Scheme in accordance with the Securities and Exchange Board of India (Collective Investment Schemes) Regulations, 1999; (d) derivatives traded on a recognized stock exchange; (e) units of real estate investment trusts, infrastructure investment trusts and units of Category III Alternative Investment Funds registered with the Board; (f) Indian Depository Receipts; (g) any debt securities or other instruments as permitted by the Reserve Bank of India for foreign portfolio investors to invest in from time to time; and (h) such other instruments as specified by the Board from time to time.</t>
  </si>
  <si>
    <t xml:space="preserve">FPI Regs 2019, Reg 20(1)</t>
  </si>
  <si>
    <t xml:space="preserve">INV/IPO/402</t>
  </si>
  <si>
    <t xml:space="preserve">Pre-listing shares after an IPO</t>
  </si>
  <si>
    <t xml:space="preserve">Held unlisted shares since before the 2019 Regulations</t>
  </si>
  <si>
    <t xml:space="preserve">The company lists through an IPO</t>
  </si>
  <si>
    <t xml:space="preserve">FDI investors</t>
  </si>
  <si>
    <t xml:space="preserve">Face a lock-in on similar shares</t>
  </si>
  <si>
    <t xml:space="preserve">Does a lock-in apply to the FPI?</t>
  </si>
  <si>
    <t xml:space="preserve">No lock-in, because FPIs are exempt from it</t>
  </si>
  <si>
    <t xml:space="preserve">The FDI lock-in for similar shares</t>
  </si>
  <si>
    <t xml:space="preserve">A fixed one-year lock-in</t>
  </si>
  <si>
    <t xml:space="preserve">A lock-in only if the stake is over 10%</t>
  </si>
  <si>
    <t xml:space="preserve">Where an FPI held unlisted equity before the Regulations began and continues to hold it after the IPO and listing, those shares are locked in for the same period that applies to an FDI investor in a similar position.</t>
  </si>
  <si>
    <t xml:space="preserve">Reg 20(2) applies the FDI lock-in.</t>
  </si>
  <si>
    <t xml:space="preserve">The period mirrors the FDI rule; it isn't a fixed year.</t>
  </si>
  <si>
    <t xml:space="preserve">The lock-in doesn't depend on stake size.</t>
  </si>
  <si>
    <t xml:space="preserve">SEBI (FPI) Regulations, 2019, Regulation 20(2)</t>
  </si>
  <si>
    <t xml:space="preserve">(2) Where a foreign portfolio investor, prior to commencement of these regulations, holds equity shares in a company whose shares are not listed on any recognised stock exchange, and continues to hold such shares after the initial public offering and listing thereof, such shares shall be subject to lock-in for the same period, if any, as is applicable to shares held by a foreign direct investor placed in similar position, under the policy of the Government of India relating to foreign direct investment for the time being in force.</t>
  </si>
  <si>
    <t xml:space="preserve">FPI Regs 2019, Reg 20(2)</t>
  </si>
  <si>
    <t xml:space="preserve">INV/DMT/403</t>
  </si>
  <si>
    <t xml:space="preserve">Rights entitlements not in demat</t>
  </si>
  <si>
    <t xml:space="preserve">Holding</t>
  </si>
  <si>
    <t xml:space="preserve">Rights entitlements, not dematerialised</t>
  </si>
  <si>
    <t xml:space="preserve">Rule of thumb</t>
  </si>
  <si>
    <t xml:space="preserve">FPIs hold securities only in demat form</t>
  </si>
  <si>
    <t xml:space="preserve">Can the FPI hold them this way?</t>
  </si>
  <si>
    <t xml:space="preserve">No. Everything it holds must be in demat form</t>
  </si>
  <si>
    <t xml:space="preserve">Yes. Rights entitlements are exempt</t>
  </si>
  <si>
    <t xml:space="preserve">Only for 30 days</t>
  </si>
  <si>
    <t xml:space="preserve">Only with SEBI approval</t>
  </si>
  <si>
    <t xml:space="preserve">FPIs hold securities only in demat form, but a proviso allows all rights entitlements to be held or transferred in non-dematerialised form. Old physical shares that can't be dematerialised may also stay physical.</t>
  </si>
  <si>
    <t xml:space="preserve">The proviso specifically exempts rights entitlements.</t>
  </si>
  <si>
    <t xml:space="preserve">There's no 30-day limit.</t>
  </si>
  <si>
    <t xml:space="preserve">SEBI (FPI) Regulations, 2019, Regulation 20(4)(e)</t>
  </si>
  <si>
    <t xml:space="preserve">(e) A foreign portfolio investor shall hold, deliver or cause to be delivered securities only in the dematerialized form: Provided that any shares held in the physical form, before the commencement of these regulations, may continue to be held in the physical form, if such shares cannot be dematerialised: Provided further that all the Rights Entitlements may be held or transferred in nondematerialized form.</t>
  </si>
  <si>
    <t xml:space="preserve">FPI Regs 2019, Reg 20(4)(e) and provisos</t>
  </si>
  <si>
    <t xml:space="preserve">INV/SET/404</t>
  </si>
  <si>
    <t xml:space="preserve">Selling before settlement</t>
  </si>
  <si>
    <t xml:space="preserve">Monday</t>
  </si>
  <si>
    <t xml:space="preserve">Buys 50,000 shares</t>
  </si>
  <si>
    <t xml:space="preserve">Monday afternoon</t>
  </si>
  <si>
    <t xml:space="preserve">Price spikes; wants to sell the same shares</t>
  </si>
  <si>
    <t xml:space="preserve">Settlement</t>
  </si>
  <si>
    <t xml:space="preserve">Not yet complete</t>
  </si>
  <si>
    <t xml:space="preserve">Can it sell now?</t>
  </si>
  <si>
    <t xml:space="preserve">No. It must wait for settlement</t>
  </si>
  <si>
    <t xml:space="preserve">Yes, up to half the quantity</t>
  </si>
  <si>
    <t xml:space="preserve">Yes, if it borrows the shares under SLB first</t>
  </si>
  <si>
    <t xml:space="preserve">FPIs can't short sell except under SLB or another SEBI framework, and sales against open purchases aren't permitted. FPIs can sell such securities only after settlement.</t>
  </si>
  <si>
    <t xml:space="preserve">A broker doesn't change the open-purchase rule.</t>
  </si>
  <si>
    <t xml:space="preserve">There's no partial allowance.</t>
  </si>
  <si>
    <t xml:space="preserve">Borrowing creates a different position. It doesn't let it sell the unsettled purchase itself.</t>
  </si>
  <si>
    <t xml:space="preserve">SEBI Operational Guidelines for FPIs and DDPs, Part C 5</t>
  </si>
  <si>
    <t xml:space="preserve">FPIs are not allowed to short sell in Indian market except as allowed under Securities Lending &amp; Borrowing (SLB) or any other framework specified by the Board. Further, sales against open purchases are not permitted for FPIs and FPIs can sell such securities only after their settlement.</t>
  </si>
  <si>
    <t xml:space="preserve">Op. Guidelines Part C 5</t>
  </si>
  <si>
    <t xml:space="preserve">INV/OFF/405</t>
  </si>
  <si>
    <t xml:space="preserve">Moving shares between sister registrations</t>
  </si>
  <si>
    <t xml:space="preserve">Pension fund with three FPI registrations under a multiple-manager structure</t>
  </si>
  <si>
    <t xml:space="preserve">Same for all three</t>
  </si>
  <si>
    <t xml:space="preserve">Move shares off-market from one registration to another</t>
  </si>
  <si>
    <t xml:space="preserve">Through</t>
  </si>
  <si>
    <t xml:space="preserve">Its DDP</t>
  </si>
  <si>
    <t xml:space="preserve">Can the DDP process it?</t>
  </si>
  <si>
    <t xml:space="preserve">No. All FPI transfers must go through the exchange</t>
  </si>
  <si>
    <t xml:space="preserve">Yes, between same-PAN registrations</t>
  </si>
  <si>
    <t xml:space="preserve">Only for debt securities</t>
  </si>
  <si>
    <t xml:space="preserve">FPIs under a multiple-manager structure with the same PAN may request off-market transfers between themselves through their DDPs. Approval is without prejudice to tax.</t>
  </si>
  <si>
    <t xml:space="preserve">Off-market transfers are allowed in this case.</t>
  </si>
  <si>
    <t xml:space="preserve">The DDP processes them; SEBI approval isn't needed.</t>
  </si>
  <si>
    <t xml:space="preserve">It isn't limited to debt.</t>
  </si>
  <si>
    <t xml:space="preserve">SEBI Operational Guidelines for FPIs and DDPs, Part C 3(i)–(ii)</t>
  </si>
  <si>
    <t xml:space="preserve">In addition to the transactions set out under Regulation 20(4)(d) of the Regulations with domestic or foreign investors, FPIs shall also be permitted to request for 'Off Market' transfer of assets between FPIs operating under MIM structure (with same PAN issued by Income Tax Department) to their DDPs and such requests can be processed by DDPs at their end. Any such approval of off market transactions of assets by DDPs will be without prejudice to provisions of taxation.</t>
  </si>
  <si>
    <t xml:space="preserve">Op. Guidelines Part C 3(i)–(ii); FPI Regs 2019, Reg 20(4)(d)(xiii)</t>
  </si>
  <si>
    <t xml:space="preserve">INV/SHT/406</t>
  </si>
  <si>
    <t xml:space="preserve">Plain short selling</t>
  </si>
  <si>
    <t xml:space="preserve">Sell shares it doesn't own, without borrowing</t>
  </si>
  <si>
    <t xml:space="preserve">Allowed?</t>
  </si>
  <si>
    <t xml:space="preserve">Is naked short selling allowed?</t>
  </si>
  <si>
    <t xml:space="preserve">Yes, for hedge funds</t>
  </si>
  <si>
    <t xml:space="preserve">No. Only under SLB or a SEBI framework</t>
  </si>
  <si>
    <t xml:space="preserve">Yes, as long as it covers by month-end</t>
  </si>
  <si>
    <t xml:space="preserve">Yes, up to 5% of holdings</t>
  </si>
  <si>
    <t xml:space="preserve">FPIs aren't allowed to short sell in the Indian market except as permitted under securities lending and borrowing or another SEBI framework.</t>
  </si>
  <si>
    <t xml:space="preserve">Hedge funds get no exception.</t>
  </si>
  <si>
    <t xml:space="preserve">Covering later doesn't make it permitted.</t>
  </si>
  <si>
    <t xml:space="preserve">Op. Guidelines Part C 5; FPI Regs 2019, Reg 20(4)(b)(ii)</t>
  </si>
  <si>
    <t xml:space="preserve">INV/IPO/407</t>
  </si>
  <si>
    <t xml:space="preserve">IPO bids from sister registrations</t>
  </si>
  <si>
    <t xml:space="preserve">Bidder</t>
  </si>
  <si>
    <t xml:space="preserve">Pension fund with two registrations under a multiple-manager structure</t>
  </si>
  <si>
    <t xml:space="preserve">Bids</t>
  </si>
  <si>
    <t xml:space="preserve">Two IPO bids, same PAN, different demat accounts</t>
  </si>
  <si>
    <t xml:space="preserve">Registrar's concern</t>
  </si>
  <si>
    <t xml:space="preserve">Multiple bids</t>
  </si>
  <si>
    <t xml:space="preserve">Are they treated as multiple bids?</t>
  </si>
  <si>
    <t xml:space="preserve">How are the bids treated?</t>
  </si>
  <si>
    <t xml:space="preserve">As multiple bids, so one of them is rejected</t>
  </si>
  <si>
    <t xml:space="preserve">Not as multiple bids; PAN is checked</t>
  </si>
  <si>
    <t xml:space="preserve">Only the larger bid counts</t>
  </si>
  <si>
    <t xml:space="preserve">Both are rejected</t>
  </si>
  <si>
    <t xml:space="preserve">Bids by FPIs under a multiple-manager structure with the same PAN but different demat accounts may not be treated as multiple bids. At allotment, registrars check the single-FPI limit using PAN and validate investor-group limits with the depositories.</t>
  </si>
  <si>
    <t xml:space="preserve">The guidelines say such bids may not be treated as multiple bids.</t>
  </si>
  <si>
    <t xml:space="preserve">Both can count, subject to the limit check.</t>
  </si>
  <si>
    <t xml:space="preserve">There's no basis to reject both.</t>
  </si>
  <si>
    <t xml:space="preserve">SEBI Operational Guidelines for FPIs and DDPs, Part C 6(ii)–(iii)</t>
  </si>
  <si>
    <t xml:space="preserve">To ensure compliance of the above, at the time of finalization of basis of allotment during primary market issuances, Registrar and Transfer Agents ('RTAs') shall use PAN issued by Income Tax Department of India for checking compliance for a single FPI. Also, RTAs should obtain validation from Depositories for the FPI investor group who have invested in the particular primary market issuance to ensure there is no breach of investment limit within the timelines specified by SEBI for issue procedure. Bids by FPIs submitted under MIM structure with the same PAN but with different beneficiary account numbers, Client IDs and DP IDs may not be treated as multiple bids.</t>
  </si>
  <si>
    <t xml:space="preserve">Op. Guidelines Part C 6(ii)–(iii)</t>
  </si>
  <si>
    <t xml:space="preserve">INV/RE/408</t>
  </si>
  <si>
    <t xml:space="preserve">Selling rights entitlements</t>
  </si>
  <si>
    <t xml:space="preserve">Rights entitlements in a listed company</t>
  </si>
  <si>
    <t xml:space="preserve">Transfer them to a related party at a nominal price</t>
  </si>
  <si>
    <t xml:space="preserve">What price rule applies?</t>
  </si>
  <si>
    <t xml:space="preserve">At what price must it transfer them?</t>
  </si>
  <si>
    <t xml:space="preserve">Any price the parties agree</t>
  </si>
  <si>
    <t xml:space="preserve">Market price or fair value</t>
  </si>
  <si>
    <t xml:space="preserve">Face value of the entitlements</t>
  </si>
  <si>
    <t xml:space="preserve">Zero, since they're related</t>
  </si>
  <si>
    <t xml:space="preserve">An FPI must make sure rights entitlements are transferred at market price or fair value, as applicable. Transfers of rights entitlements are also exempt from the broker requirement.</t>
  </si>
  <si>
    <t xml:space="preserve">The price can't be anything agreed.</t>
  </si>
  <si>
    <t xml:space="preserve">Face value isn't the rule.</t>
  </si>
  <si>
    <t xml:space="preserve">Relatedness doesn't permit a nominal price.</t>
  </si>
  <si>
    <t xml:space="preserve">SEBI Operational Guidelines for FPIs and DDPs, Part C 7</t>
  </si>
  <si>
    <t xml:space="preserve">FPI shall ensure that the transfer of rights entitlements shall be at market price or fair value, as applicable.</t>
  </si>
  <si>
    <t xml:space="preserve">Op. Guidelines Part C 7; FPI Regs 2019, Reg 20(4)(d)(xi)</t>
  </si>
  <si>
    <t xml:space="preserve">INV/MRG/409</t>
  </si>
  <si>
    <t xml:space="preserve">Margin timing for a family office</t>
  </si>
  <si>
    <t xml:space="preserve">Trade</t>
  </si>
  <si>
    <t xml:space="preserve">Cash-market purchase</t>
  </si>
  <si>
    <t xml:space="preserve">Assumption</t>
  </si>
  <si>
    <t xml:space="preserve">FPI trades are margined on T+1</t>
  </si>
  <si>
    <t xml:space="preserve">Correct for this FPI?</t>
  </si>
  <si>
    <t xml:space="preserve">How is it margined?</t>
  </si>
  <si>
    <t xml:space="preserve">T+1, like all FPIs</t>
  </si>
  <si>
    <t xml:space="preserve">Upfront</t>
  </si>
  <si>
    <t xml:space="preserve">T+2, after settlement</t>
  </si>
  <si>
    <t xml:space="preserve">No margin for FPIs</t>
  </si>
  <si>
    <t xml:space="preserve">FPI trades are generally margined on a T+1 basis, but trades of Category II FPIs that are corporate bodies, individuals or family offices are margined upfront, like non-institutional trades.</t>
  </si>
  <si>
    <t xml:space="preserve">T+1 applies to most FPIs, not this sub-category.</t>
  </si>
  <si>
    <t xml:space="preserve">T+2 isn't the rule.</t>
  </si>
  <si>
    <t xml:space="preserve">FPI trades are margined.</t>
  </si>
  <si>
    <t xml:space="preserve">SEBI Operational Guidelines for FPIs and DDPs, Part C 8(i)</t>
  </si>
  <si>
    <t xml:space="preserve">The trades of FPIs shall be margined on a T+1 basis as specified by SEBI. b) However, the trades of Category II FPIs who are corporate bodies, Individuals or Family offices shall be margined on an upfront basis as per the extant margining framework for the non-institutional trades.</t>
  </si>
  <si>
    <t xml:space="preserve">Op. Guidelines Part C 8(i)</t>
  </si>
  <si>
    <t xml:space="preserve">INV/DBT/410</t>
  </si>
  <si>
    <t xml:space="preserve">Bond that never lists</t>
  </si>
  <si>
    <t xml:space="preserve">Bought</t>
  </si>
  <si>
    <t xml:space="preserve">To-be-listed corporate bonds without end-use checks</t>
  </si>
  <si>
    <t xml:space="preserve">Day 35</t>
  </si>
  <si>
    <t xml:space="preserve">Bonds still not listed</t>
  </si>
  <si>
    <t xml:space="preserve">What now?</t>
  </si>
  <si>
    <t xml:space="preserve">What must the FPI do?</t>
  </si>
  <si>
    <t xml:space="preserve">Nothing; listing can come later</t>
  </si>
  <si>
    <t xml:space="preserve">Sell them at once to a domestic buyer or issuer</t>
  </si>
  <si>
    <t xml:space="preserve">Convert them to FDI</t>
  </si>
  <si>
    <t xml:space="preserve">Hold them but stop coupon receipts</t>
  </si>
  <si>
    <t xml:space="preserve">FPIs can buy to-be-listed corporate debt without the end-use restrictions for unlisted debt. If listing doesn't happen within 30 days, or the issue fails the end-use restriction, the FPI must immediately dispose of it to a domestic investor or the issuer.</t>
  </si>
  <si>
    <t xml:space="preserve">The 30-day window has passed.</t>
  </si>
  <si>
    <t xml:space="preserve">Debt doesn't convert to FDI.</t>
  </si>
  <si>
    <t xml:space="preserve">There's no rule about stopping coupons.</t>
  </si>
  <si>
    <t xml:space="preserve">SEBI Operational Guidelines for FPIs and DDPs, Part C 9(iii)</t>
  </si>
  <si>
    <t xml:space="preserve">FPIs are eligible to invest in corporate debt issues which are “to be listed” without any end-use restriction as applicable to unlisted debt securities. However, if the listing does not happen within 30 days or the issue is not meeting end use restriction, FPI shall immediately dispose such investment to either domestic investor or issuer</t>
  </si>
  <si>
    <t xml:space="preserve">Op. Guidelines Part C 9(iii)</t>
  </si>
  <si>
    <t xml:space="preserve">INV/DBT/411</t>
  </si>
  <si>
    <t xml:space="preserve">Debt mutual fund units</t>
  </si>
  <si>
    <t xml:space="preserve">Investment</t>
  </si>
  <si>
    <t xml:space="preserve">Units of an Indian debt-oriented mutual fund</t>
  </si>
  <si>
    <t xml:space="preserve">Mutual fund units don't use corporate debt limits</t>
  </si>
  <si>
    <t xml:space="preserve">Correct?</t>
  </si>
  <si>
    <t xml:space="preserve">How are these units counted?</t>
  </si>
  <si>
    <t xml:space="preserve">As equity investment</t>
  </si>
  <si>
    <t xml:space="preserve">As corporate debt</t>
  </si>
  <si>
    <t xml:space="preserve">Outside all FPI limits</t>
  </si>
  <si>
    <t xml:space="preserve">As government securities</t>
  </si>
  <si>
    <t xml:space="preserve">FPI investments in debt-oriented mutual fund schemes are reckoned as investments in corporate debt.</t>
  </si>
  <si>
    <t xml:space="preserve">They count as corporate debt, not equity.</t>
  </si>
  <si>
    <t xml:space="preserve">They're inside the corporate debt limits.</t>
  </si>
  <si>
    <t xml:space="preserve">They aren't treated as G-Secs.</t>
  </si>
  <si>
    <t xml:space="preserve">SEBI Operational Guidelines for FPIs and DDPs, Part C 9(iv)</t>
  </si>
  <si>
    <t xml:space="preserve">The investments by FPIs in debt oriented mutual fund schemes shall be reckoned as investments in corporate debt.</t>
  </si>
  <si>
    <t xml:space="preserve">Op. Guidelines Part C 9(iv)</t>
  </si>
  <si>
    <t xml:space="preserve">INV/AGG/412</t>
  </si>
  <si>
    <t xml:space="preserve">Sectoral cap breached</t>
  </si>
  <si>
    <t xml:space="preserve">Company</t>
  </si>
  <si>
    <t xml:space="preserve">Listed company in a capped sector</t>
  </si>
  <si>
    <t xml:space="preserve">FPI purchases push total foreign holding past the sectoral cap</t>
  </si>
  <si>
    <t xml:space="preserve">FPIs identified</t>
  </si>
  <si>
    <t xml:space="preserve">Net buyers on the breach day</t>
  </si>
  <si>
    <t xml:space="preserve">How do they fix it?</t>
  </si>
  <si>
    <t xml:space="preserve">What's the fix?</t>
  </si>
  <si>
    <t xml:space="preserve">Sell to any buyer within 30 days of the breach</t>
  </si>
  <si>
    <t xml:space="preserve">Sell within 5 trading days, only to domestic buyers</t>
  </si>
  <si>
    <t xml:space="preserve">The exchange cancels the last trades</t>
  </si>
  <si>
    <t xml:space="preserve">The company issues new shares to dilute</t>
  </si>
  <si>
    <t xml:space="preserve">In a breach of the sectoral cap or aggregate FPI or NRI limit, foreign investors divest the excess within 5 trading days of settlement, selling only to domestic investors. The excess is spread proportionately across the foreign investors that were net buyers on the breach day.</t>
  </si>
  <si>
    <t xml:space="preserve">The window is 5 trading days, and sales go to domestic investors.</t>
  </si>
  <si>
    <t xml:space="preserve">Exchange trades in breach aren't annulled.</t>
  </si>
  <si>
    <t xml:space="preserve">Dilution isn't the prescribed fix.</t>
  </si>
  <si>
    <t xml:space="preserve">SEBI Operational Guidelines for FPIs and DDPs, Part C 2(N)–(O)</t>
  </si>
  <si>
    <t xml:space="preserve">In the event of a breach of the sectoral cap/aggregate FPI limit/aggregate NRI limit, the foreign investors shall divest their excess holding within 5 trading days from the date of settlement of the trades, by selling shares only to domestic investors. Method of disinvestment O. The proportionate disinvestment methodology shall be followed for disinvestment of the excess shares so as to bring the foreign investment in a company within permissible limits. In this method, depending on the limit being breached, the disinvestment of the breached quantity shall be uniformly spread across all foreign Investors/FPIs/NRIs which are net buyers of the shares of the scrip on the day of the breach.</t>
  </si>
  <si>
    <t xml:space="preserve">Op. Guidelines Part C 2(N)–(O), (X)</t>
  </si>
  <si>
    <t xml:space="preserve">INV/AGG/413</t>
  </si>
  <si>
    <t xml:space="preserve">Headroom comes back mid-window</t>
  </si>
  <si>
    <t xml:space="preserve">Told to sell 20,000 excess shares after a cap breach</t>
  </si>
  <si>
    <t xml:space="preserve">Day 3</t>
  </si>
  <si>
    <t xml:space="preserve">Other FPIs sell; holdings are back within the cap</t>
  </si>
  <si>
    <t xml:space="preserve">Can we keep our shares now?</t>
  </si>
  <si>
    <t xml:space="preserve">Window</t>
  </si>
  <si>
    <t xml:space="preserve">5 trading days</t>
  </si>
  <si>
    <t xml:space="preserve">Does the obligation fall away?</t>
  </si>
  <si>
    <t xml:space="preserve">Yes, since there's no longer any breach to fix</t>
  </si>
  <si>
    <t xml:space="preserve">No. It must still sell</t>
  </si>
  <si>
    <t xml:space="preserve">Yes, if it applies to SEBI</t>
  </si>
  <si>
    <t xml:space="preserve">Only half must be sold</t>
  </si>
  <si>
    <t xml:space="preserve">If foreign shareholding comes back within limits during the divestment period because others sold, the FPIs advised to divest must still do so within the period, even though headroom has reappeared.</t>
  </si>
  <si>
    <t xml:space="preserve">The guidelines say the obligation stands despite new headroom.</t>
  </si>
  <si>
    <t xml:space="preserve">There's no application route.</t>
  </si>
  <si>
    <t xml:space="preserve">The full advised quantity must be sold.</t>
  </si>
  <si>
    <t xml:space="preserve">SEBI Operational Guidelines for FPIs and DDPs, Part C 2(W)</t>
  </si>
  <si>
    <t xml:space="preserve">In the event the foreign shareholding in a company comes within permissible limit during the time period for disinvestment, on account of sale by other FPI or other group of FPIs, the original FPIs, which have been advised to disinvest, would still have to do so within the disinvestment time period, irrespective of the fresh availability of an investment headroom during the disinvestment time period.</t>
  </si>
  <si>
    <t xml:space="preserve">Op. Guidelines Part C 2(W)</t>
  </si>
  <si>
    <t xml:space="preserve">INV/AGG/414</t>
  </si>
  <si>
    <t xml:space="preserve">Red flag on a stock</t>
  </si>
  <si>
    <t xml:space="preserve">Listed mid-cap</t>
  </si>
  <si>
    <t xml:space="preserve">Foreign holding within 3% of its aggregate FPI limit</t>
  </si>
  <si>
    <t xml:space="preserve">Exchange</t>
  </si>
  <si>
    <t xml:space="preserve">Shows remaining headroom in shares</t>
  </si>
  <si>
    <t xml:space="preserve">What does this mean for FPIs?</t>
  </si>
  <si>
    <t xml:space="preserve">What does the red flag mean?</t>
  </si>
  <si>
    <t xml:space="preserve">FPIs can't buy any more shares at all</t>
  </si>
  <si>
    <t xml:space="preserve">FPIs may buy, but a breach forces a sale</t>
  </si>
  <si>
    <t xml:space="preserve">Trades will be reversed if the limit is crossed</t>
  </si>
  <si>
    <t xml:space="preserve">Only Category I FPIs may buy</t>
  </si>
  <si>
    <t xml:space="preserve">A red flag is activated when headroom is 3% or less of the aggregate FPI or NRI limit or sectoral cap. Foreign investors may still trade, but consciously: if a breach follows, they must divest the excess within 5 trading days of settlement. Purchases halt only once a limit is actually breached.</t>
  </si>
  <si>
    <t xml:space="preserve">Buying stops only after a breach, not at the red flag.</t>
  </si>
  <si>
    <t xml:space="preserve">Trades aren't annulled.</t>
  </si>
  <si>
    <t xml:space="preserve">Both categories may trade.</t>
  </si>
  <si>
    <t xml:space="preserve">SEBI Operational Guidelines for FPIs and DDPs, Part C 2(K)</t>
  </si>
  <si>
    <t xml:space="preserve">A red flag shall be activated whenever the foreign investment is 3% or less than 3% of the aggregate NRI/FPI limits or the sectoral cap.</t>
  </si>
  <si>
    <t xml:space="preserve">SEBI Operational Guidelines for FPIs and DDPs, Part C 2(L)</t>
  </si>
  <si>
    <t xml:space="preserve">Once a red flag has been activated for a given scrip, the foreign investors shall take a conscious decision to trade in the shares of the scrip, with a clear understanding that in the event of a breach of the aggregate NRI/FPI limits or the sectoral cap, the foreign investors shall be liable to disinvest the excess holding within five trading days from the date of settlement of the trades.</t>
  </si>
  <si>
    <t xml:space="preserve">Op. Guidelines Part C 2(K)–(M)</t>
  </si>
  <si>
    <t xml:space="preserve">INV/FDI/415</t>
  </si>
  <si>
    <t xml:space="preserve">Group chooses FDI treatment</t>
  </si>
  <si>
    <t xml:space="preserve">FPI group</t>
  </si>
  <si>
    <t xml:space="preserve">Now holds 11% of a listed company</t>
  </si>
  <si>
    <t xml:space="preserve">Choice</t>
  </si>
  <si>
    <t xml:space="preserve">Treat the whole holding as FDI instead of selling down</t>
  </si>
  <si>
    <t xml:space="preserve">Later sell part of it on the exchange through the FPI account</t>
  </si>
  <si>
    <t xml:space="preserve">What applies after the choice?</t>
  </si>
  <si>
    <t xml:space="preserve">What changes after choosing FDI?</t>
  </si>
  <si>
    <t xml:space="preserve">Nothing; it can keep trading there as an FPI</t>
  </si>
  <si>
    <t xml:space="preserve">No more portfolio investment in that company</t>
  </si>
  <si>
    <t xml:space="preserve">It needs RBI approval for every trade</t>
  </si>
  <si>
    <t xml:space="preserve">If an FPI and its group reach 10% or more and opt to treat their investment as FDI, they make no further portfolio investment in that company. The custodian reports the choice; holdings are marked FDI, can be sold only through the route they were acquired, and the custodian makes LEC reporting.</t>
  </si>
  <si>
    <t xml:space="preserve">Electing FDI ends portfolio investment in that company.</t>
  </si>
  <si>
    <t xml:space="preserve">There's no forced exit.</t>
  </si>
  <si>
    <t xml:space="preserve">Trade-by-trade RBI approval isn't required.</t>
  </si>
  <si>
    <t xml:space="preserve">SEBI Operational Guidelines for FPIs and DDPs, Part C 16</t>
  </si>
  <si>
    <t xml:space="preserve">In the event an FPI and its investor group reach 10% or more of the total paid up equity capital of a company on a fully diluted basis, they must follow extant FEMA rules in this regard. If such FPI and its investor group opt to treat their entire investment into a company as FDI under Regulation 22(3), such FPI including its investor group shall not make further portfolio investment in that company under the Regulations. Such FPI/ its investor group shall inform respective custodians of the choice who in turn will report this to the board, depositories and the issuer. Such investments shall be treated as FDI subject to norms as prescribed by RBI from time to time and will be marked as FDI in custodian records. However, FPI and its investor group will be able to sell these securities only through the route as they were acquired and appropriate reporting (i.e. LEC reporting) will be made by the respective custodian.</t>
  </si>
  <si>
    <t xml:space="preserve">Op. Guidelines Part C 16; FPI Regs 2019, Reg 20(7), Reg 22(3)</t>
  </si>
  <si>
    <t xml:space="preserve">INV/GRP/416</t>
  </si>
  <si>
    <t xml:space="preserve">Individual FPI and a sister</t>
  </si>
  <si>
    <t xml:space="preserve">Individual investor, 6% of Company Z</t>
  </si>
  <si>
    <t xml:space="preserve">Her sister, also registered as an FPI, 5% of Company Z</t>
  </si>
  <si>
    <t xml:space="preserve">Common ownership</t>
  </si>
  <si>
    <t xml:space="preserve">None (separate individuals)</t>
  </si>
  <si>
    <t xml:space="preserve">Are they clubbed?</t>
  </si>
  <si>
    <t xml:space="preserve">Are they one investor group?</t>
  </si>
  <si>
    <t xml:space="preserve">No. Separate individuals are never clubbed</t>
  </si>
  <si>
    <t xml:space="preserve">Yes. Relatives are clubbed</t>
  </si>
  <si>
    <t xml:space="preserve">Only if they share a demat account</t>
  </si>
  <si>
    <t xml:space="preserve">Only if one funds the other</t>
  </si>
  <si>
    <t xml:space="preserve">For individuals registered as FPIs, the individual and relatives who are also registered as FPIs are considered together as an investor group. 'Relative' follows Section 2(77) of the Companies Act, 2013. Together they're at 11%.</t>
  </si>
  <si>
    <t xml:space="preserve">Relatives are clubbed for individual FPIs.</t>
  </si>
  <si>
    <t xml:space="preserve">Clubbing doesn't depend on a shared account.</t>
  </si>
  <si>
    <t xml:space="preserve">Funding isn't the test; the relationship is.</t>
  </si>
  <si>
    <t xml:space="preserve">SEBI Operational Guidelines for FPIs and DDPs, Part C 1(i)</t>
  </si>
  <si>
    <t xml:space="preserve">For individuals registered as FPIs, the individual and his/her relatives who is/are also registered as FPI(s) should also be considered for the purposes of investor group. The definition of “relative” shall be as per Section 2 Sub section 77 of the Companies Act, 2013.</t>
  </si>
  <si>
    <t xml:space="preserve">Op. Guidelines Part C 1(i)</t>
  </si>
  <si>
    <t xml:space="preserve">INV/GRP/417</t>
  </si>
  <si>
    <t xml:space="preserve">World Bank entities and clubbing</t>
  </si>
  <si>
    <t xml:space="preserve">FPIs</t>
  </si>
  <si>
    <t xml:space="preserve">IFC and IBRD, both registered</t>
  </si>
  <si>
    <t xml:space="preserve">IFC 6% and IBRD 5% of the same company</t>
  </si>
  <si>
    <t xml:space="preserve">Common control</t>
  </si>
  <si>
    <t xml:space="preserve">Both World Bank Group</t>
  </si>
  <si>
    <t xml:space="preserve">Breach of 10%?</t>
  </si>
  <si>
    <t xml:space="preserve">Is this a breach?</t>
  </si>
  <si>
    <t xml:space="preserve">Yes. World Bank Group entities are one investor group</t>
  </si>
  <si>
    <t xml:space="preserve">No. They're exempt from clubbing</t>
  </si>
  <si>
    <t xml:space="preserve">Yes, unless RBI approves</t>
  </si>
  <si>
    <t xml:space="preserve">Only if they share a custodian</t>
  </si>
  <si>
    <t xml:space="preserve">A Government of India letter exempts World Bank Group entities (IBRD, IDA, MIGA and IFC) from clubbing of investment limits for the below-10% FPI limit in a single company.</t>
  </si>
  <si>
    <t xml:space="preserve">They're specifically exempt from clubbing.</t>
  </si>
  <si>
    <t xml:space="preserve">The exemption comes from the Government; no RBI approval is needed.</t>
  </si>
  <si>
    <t xml:space="preserve">Custodians don't affect the exemption.</t>
  </si>
  <si>
    <t xml:space="preserve">SEBI Operational Guidelines for FPIs and DDPs, Part C 1(viii)</t>
  </si>
  <si>
    <t xml:space="preserve">Government of India, vide letter No. 10/06/2010-ECB dated January 06, 2016 has exempted World Bank Group viz. IBRD, IDA, MIGA and IFC from clubbing of the investment limits for the purpose of application of below 10% limit for FPI investments in a single company.</t>
  </si>
  <si>
    <t xml:space="preserve">Op. Guidelines Part C 1(viii)</t>
  </si>
  <si>
    <t xml:space="preserve">INV/GRP/418</t>
  </si>
  <si>
    <t xml:space="preserve">Two provincial government funds</t>
  </si>
  <si>
    <t xml:space="preserve">Fund of a Canadian province</t>
  </si>
  <si>
    <t xml:space="preserve">Fund of another province in the same country</t>
  </si>
  <si>
    <t xml:space="preserve">Beneficial owners</t>
  </si>
  <si>
    <t xml:space="preserve">Different, identified under PMLA rules</t>
  </si>
  <si>
    <t xml:space="preserve">Clubbed as government-related?</t>
  </si>
  <si>
    <t xml:space="preserve">Yes. Same country means one government investor group</t>
  </si>
  <si>
    <t xml:space="preserve">No, given different beneficial owners</t>
  </si>
  <si>
    <t xml:space="preserve">Yes, unless each is under 5%</t>
  </si>
  <si>
    <t xml:space="preserve">Only if they share a manager</t>
  </si>
  <si>
    <t xml:space="preserve">Investments by foreign governments or their related entities from provinces or states of federal countries aren't clubbed if they have different beneficial owners identified under PMLA rules.</t>
  </si>
  <si>
    <t xml:space="preserve">Different BOs keep them separate.</t>
  </si>
  <si>
    <t xml:space="preserve">There's no 5% threshold here.</t>
  </si>
  <si>
    <t xml:space="preserve">A shared manager isn't the test.</t>
  </si>
  <si>
    <t xml:space="preserve">SEBI Operational Guidelines for FPIs and DDPs, Part C 1(ix)</t>
  </si>
  <si>
    <t xml:space="preserve">The investment by foreign Government/ its related entities from provinces/ states of countries with federal structure shall not be clubbed if the said foreign entities have different BO identified in accordance with PMLA Rules.</t>
  </si>
  <si>
    <t xml:space="preserve">Op. Guidelines Part C 1(ix)</t>
  </si>
  <si>
    <t xml:space="preserve">INV/GRP/419</t>
  </si>
  <si>
    <t xml:space="preserve">Group spread across two custodians</t>
  </si>
  <si>
    <t xml:space="preserve">Custodied at Bank X</t>
  </si>
  <si>
    <t xml:space="preserve">Same group, custodied at Bank Y</t>
  </si>
  <si>
    <t xml:space="preserve">Concern</t>
  </si>
  <si>
    <t xml:space="preserve">Neither custodian sees the full group position</t>
  </si>
  <si>
    <t xml:space="preserve">How is the 10% limit monitored?</t>
  </si>
  <si>
    <t xml:space="preserve">How is it monitored?</t>
  </si>
  <si>
    <t xml:space="preserve">Each custodian checks only its own client's holdings</t>
  </si>
  <si>
    <t xml:space="preserve">Depositories club and monitor holdings daily</t>
  </si>
  <si>
    <t xml:space="preserve">The FPIs self-report monthly</t>
  </si>
  <si>
    <t xml:space="preserve">SEBI checks at continuance</t>
  </si>
  <si>
    <t xml:space="preserve">Where group FPIs use different custodians, the custodians report holdings to both depositories. The depositories club the group's investments, monitor them on an end-of-day basis, and report breaches to SEBI. Group FPIs can ask NSDL for the group's aggregate holding before investing.</t>
  </si>
  <si>
    <t xml:space="preserve">Depositories combine the data, not individual custodians.</t>
  </si>
  <si>
    <t xml:space="preserve">Monitoring is daily by the depositories.</t>
  </si>
  <si>
    <t xml:space="preserve">It's daily, not at continuance.</t>
  </si>
  <si>
    <t xml:space="preserve">SEBI Operational Guidelines for FPIs and DDPs, Part C 1(ii)</t>
  </si>
  <si>
    <t xml:space="preserve">Where different FPIs belonging to the same investor group are serviced by different custodians, the custodians shall report the holdings of such FPIs to both the depositories. The depositories shall club the investments of such FPIs and ensure that combined holdings of all these FPIs remains below 10% of the total paid up equity capital in a listed or to be listed company on a fully diluted basis at any time.</t>
  </si>
  <si>
    <t xml:space="preserve">SEBI Operational Guidelines for FPIs and DDPs, Part C 1(iii)</t>
  </si>
  <si>
    <t xml:space="preserve">The depositories shall monitor the aggregate investment limits of FPI group based on demat holdings data, daily on an end of day basis.</t>
  </si>
  <si>
    <t xml:space="preserve">Op. Guidelines Part C 1(ii)–(vii); FPI Regs 2019, Reg 25(2)(d)</t>
  </si>
  <si>
    <t xml:space="preserve">INV/ODI/420</t>
  </si>
  <si>
    <t xml:space="preserve">FPI and ODI positions in one company</t>
  </si>
  <si>
    <t xml:space="preserve">Investor</t>
  </si>
  <si>
    <t xml:space="preserve">Holds 7% of Company Q as an FPI</t>
  </si>
  <si>
    <t xml:space="preserve">Also</t>
  </si>
  <si>
    <t xml:space="preserve">ODI positions referencing 4% of Company Q</t>
  </si>
  <si>
    <t xml:space="preserve">View</t>
  </si>
  <si>
    <t xml:space="preserve">ODI exposure is separate, so no breach</t>
  </si>
  <si>
    <t xml:space="preserve">How is the 10% limit applied?</t>
  </si>
  <si>
    <t xml:space="preserve">Separately to FPI holdings and ODI positions</t>
  </si>
  <si>
    <t xml:space="preserve">To FPI holdings and ODI positions together</t>
  </si>
  <si>
    <t xml:space="preserve">To FPI holdings only</t>
  </si>
  <si>
    <t xml:space="preserve">To ODI positions only</t>
  </si>
  <si>
    <t xml:space="preserve">The below-10% limit applies to ODI subscribers too, and where an investor has both FPI investments and ODI positions in the same company, the limit applies to the two together. At 11%, this investor is over.</t>
  </si>
  <si>
    <t xml:space="preserve">The guidelines club FPI and ODI exposure.</t>
  </si>
  <si>
    <t xml:space="preserve">ODI positions count too.</t>
  </si>
  <si>
    <t xml:space="preserve">FPI holdings count too.</t>
  </si>
  <si>
    <t xml:space="preserve">SEBI Operational Guidelines for FPIs and DDPs, Part D 1(viii)</t>
  </si>
  <si>
    <t xml:space="preserve">Investment restrictions prescribed under the Regulation 20(7) of SEBI (Foreign Portfolio Investor) Regulations, 2019 shall apply to ODI subscribers also. a) For this purpose, two or more ODI subscribers having common ownership, directly or indirectly, of more than fifty percent or common control shall be considered together as a single ODI subscriber, in the same manner as is being done in the case of FPIs. b) Further, where an investor has investments as FPI and also holds positions as an ODI subscriber, these investment restrictions shall apply on the aggregate of FPI investments and ODI positions held in the underlying Indian Company. In other words, the investment as FPI and positions held as ODI subscriber will be clubbed together with reference to the said investment restrictions.</t>
  </si>
  <si>
    <t xml:space="preserve">Op. Guidelines Part D 1(viii)</t>
  </si>
  <si>
    <t xml:space="preserve">INV/ODI/421</t>
  </si>
  <si>
    <t xml:space="preserve">Custom basket hedged in India</t>
  </si>
  <si>
    <t xml:space="preserve">Product</t>
  </si>
  <si>
    <t xml:space="preserve">Swap on a custom basket, 8% Indian stocks</t>
  </si>
  <si>
    <t xml:space="preserve">Indian component hedged onshore</t>
  </si>
  <si>
    <t xml:space="preserve">Is it an ODI?</t>
  </si>
  <si>
    <t xml:space="preserve">Is this an ODI?</t>
  </si>
  <si>
    <t xml:space="preserve">No. The Indian weight is under the 20% threshold</t>
  </si>
  <si>
    <t xml:space="preserve">Yes. Custom baskets always are</t>
  </si>
  <si>
    <t xml:space="preserve">No, unless Indian weight exceeds 50%</t>
  </si>
  <si>
    <t xml:space="preserve">Only if sold to Indian residents</t>
  </si>
  <si>
    <t xml:space="preserve">For non-proprietary indices like MSCI World, trades with less than 20% Indian weight aren't treated as ODIs. Custom baskets hedged onshore are always ODIs, whatever the Indian share. ODI rules have been revised since the 2019 guidelines, so confirm against the current Master Circular.</t>
  </si>
  <si>
    <t xml:space="preserve">The 20% threshold is for non-proprietary indices, not custom baskets.</t>
  </si>
  <si>
    <t xml:space="preserve">There's no 50% test.</t>
  </si>
  <si>
    <t xml:space="preserve">ODI status doesn't depend on buyer residence.</t>
  </si>
  <si>
    <t xml:space="preserve">SEBI Operational Guidelines for FPIs and DDPs, Part D 1(v)</t>
  </si>
  <si>
    <t xml:space="preserve">In determining whether a derivative instrument issued is an ODI or not, the threshold for trades with non-proprietary indices (e.g. MSCI World or MSCI EM Asia) as underlying shall be taken as 20%, i.e. those trades for which the materiality of Indian underlying is less than 20% of the index would not be regarded as ODIs, even if such exposure is hedged onshore in India.</t>
  </si>
  <si>
    <t xml:space="preserve">Op. Guidelines Part D 1(v)</t>
  </si>
  <si>
    <t xml:space="preserve">OBL/RPT/501</t>
  </si>
  <si>
    <t xml:space="preserve">False information discovered</t>
  </si>
  <si>
    <t xml:space="preserve">Discovery</t>
  </si>
  <si>
    <t xml:space="preserve">An ownership figure in its application was wrong</t>
  </si>
  <si>
    <t xml:space="preserve">Found</t>
  </si>
  <si>
    <t xml:space="preserve">On 2 May</t>
  </si>
  <si>
    <t xml:space="preserve">Deadline to inform SEBI and the DDP</t>
  </si>
  <si>
    <t xml:space="preserve">At its next continuance</t>
  </si>
  <si>
    <t xml:space="preserve">Within 30 days</t>
  </si>
  <si>
    <t xml:space="preserve">Only if the DDP asks</t>
  </si>
  <si>
    <t xml:space="preserve">An FPI must inform SEBI and its DDP in writing, as soon as possible and within 7 working days, if information it submitted earlier is found to be false or misleading in any material respect.</t>
  </si>
  <si>
    <t xml:space="preserve">Waiting for continuance breaches the deadline.</t>
  </si>
  <si>
    <t xml:space="preserve">The deadline is 7 working days.</t>
  </si>
  <si>
    <t xml:space="preserve">The duty doesn't depend on being asked.</t>
  </si>
  <si>
    <t xml:space="preserve">SEBI (FPI) Regulations, 2019, Regulation 22(1)(b)</t>
  </si>
  <si>
    <t xml:space="preserve">(b) as soon as possible but not later than seven working days, inform the Board and designated depository participant in writing, if any information or particulars previously submitted to the Board or designated depository participant are found to be false or misleading, in any material respect;</t>
  </si>
  <si>
    <t xml:space="preserve">FPI Regs 2019, Reg 22(1)(b)</t>
  </si>
  <si>
    <t xml:space="preserve">OBL/KYC/502</t>
  </si>
  <si>
    <t xml:space="preserve">KYC on the fund's own investors</t>
  </si>
  <si>
    <t xml:space="preserve">Its investors</t>
  </si>
  <si>
    <t xml:space="preserve">2,000 unit holders</t>
  </si>
  <si>
    <t xml:space="preserve">Whose rules govern KYC on them?</t>
  </si>
  <si>
    <t xml:space="preserve">Asks for confirmation</t>
  </si>
  <si>
    <t xml:space="preserve">Which rules apply to KYC on its own investors?</t>
  </si>
  <si>
    <t xml:space="preserve">Indian KYC rules</t>
  </si>
  <si>
    <t xml:space="preserve">Its home jurisdiction's rules</t>
  </si>
  <si>
    <t xml:space="preserve">None; no KYC is needed</t>
  </si>
  <si>
    <t xml:space="preserve">The DDP's internal policy</t>
  </si>
  <si>
    <t xml:space="preserve">An FPI must undertake necessary KYC on its shareholders or investors under the rules of the jurisdiction where it is organised. It must also give BO details when SEBI, the DDP or enforcement agencies ask.</t>
  </si>
  <si>
    <t xml:space="preserve">Home-jurisdiction rules govern its own investor KYC.</t>
  </si>
  <si>
    <t xml:space="preserve">KYC on its investors is required.</t>
  </si>
  <si>
    <t xml:space="preserve">The DDP's policy governs the DDP's own KYC, not this.</t>
  </si>
  <si>
    <t xml:space="preserve">SEBI (FPI) Regulations, 2019, Regulation 22(1)(i)–(j)</t>
  </si>
  <si>
    <t xml:space="preserve">(i) undertake necessary KYC on its shareholders/investors in accordance with the rules applicable to it in the jurisdiction where it is organised; (j) provide any additional information or documents including beneficiary ownership details of their clients as may be required by the designated depository participant or the Board or any other enforcement agency to ensure compliance with the Prevention of Money Laundering Act, 2002 and the rules and regulations specified thereunder, the Financial Action Task Force standards and circulars issued from time to time by the Board; and</t>
  </si>
  <si>
    <t xml:space="preserve">FPI Regs 2019, Reg 22(1)(i)–(j)</t>
  </si>
  <si>
    <t xml:space="preserve">OBL/COC/503</t>
  </si>
  <si>
    <t xml:space="preserve">Mixing client and house money</t>
  </si>
  <si>
    <t xml:space="preserve">Regulated asset manager, Category I</t>
  </si>
  <si>
    <t xml:space="preserve">Practice</t>
  </si>
  <si>
    <t xml:space="preserve">Holds its own and clients' securities in one pool</t>
  </si>
  <si>
    <t xml:space="preserve">Operational simplicity</t>
  </si>
  <si>
    <t xml:space="preserve">Allowed under the code of conduct?</t>
  </si>
  <si>
    <t xml:space="preserve">Is it allowed?</t>
  </si>
  <si>
    <t xml:space="preserve">Yes, if records are kept</t>
  </si>
  <si>
    <t xml:space="preserve">No. They must be segregated</t>
  </si>
  <si>
    <t xml:space="preserve">Yes, for Category I FPIs</t>
  </si>
  <si>
    <t xml:space="preserve">Only if clients consent</t>
  </si>
  <si>
    <t xml:space="preserve">The FPI code of conduct requires clear segregation of the FPI's own money and securities from its clients', and an arm's-length relationship between its fund-management business and other businesses.</t>
  </si>
  <si>
    <t xml:space="preserve">Record-keeping doesn't replace segregation.</t>
  </si>
  <si>
    <t xml:space="preserve">The code applies to all FPIs.</t>
  </si>
  <si>
    <t xml:space="preserve">Client consent doesn't override the code.</t>
  </si>
  <si>
    <t xml:space="preserve">SEBI (FPI) Regulations, 2019, Third Schedule, para 4</t>
  </si>
  <si>
    <t xml:space="preserve">4. A foreign portfolio investor shall ensure the following – (a) Clear segregation of its own money and securities and that of its client's money and securities. (b) Arm's length relationship between its business of fund management/investment and its other business.</t>
  </si>
  <si>
    <t xml:space="preserve">FPI Regs 2019, Third Schedule, para 4</t>
  </si>
  <si>
    <t xml:space="preserve">OBL/COC/504</t>
  </si>
  <si>
    <t xml:space="preserve">Director's family trades on a tip</t>
  </si>
  <si>
    <t xml:space="preserve">A director's relative trades on unpublished price-sensitive information</t>
  </si>
  <si>
    <t xml:space="preserve">Director</t>
  </si>
  <si>
    <t xml:space="preserve">Says the relative isn't the FPI</t>
  </si>
  <si>
    <t xml:space="preserve">Code of conduct issue?</t>
  </si>
  <si>
    <t xml:space="preserve">No. The relative isn't the FPI itself</t>
  </si>
  <si>
    <t xml:space="preserve">Yes. Trading via relatives is covered</t>
  </si>
  <si>
    <t xml:space="preserve">Only if the FPI profited</t>
  </si>
  <si>
    <t xml:space="preserve">Only if SEBI files charges</t>
  </si>
  <si>
    <t xml:space="preserve">The code bars the FPI and its directors or managers from insider trading through their own accounts or through associates, family members, relatives or friends. It also bars passing price-sensitive information.</t>
  </si>
  <si>
    <t xml:space="preserve">Trading through relatives is expressly covered.</t>
  </si>
  <si>
    <t xml:space="preserve">Profit isn't required for a breach.</t>
  </si>
  <si>
    <t xml:space="preserve">The obligation exists regardless of charges.</t>
  </si>
  <si>
    <t xml:space="preserve">SEBI (FPI) Regulations, 2019, Third Schedule, para 9</t>
  </si>
  <si>
    <t xml:space="preserve">9. A foreign portfolio investor or any of its directors or managers shall not, either through its/his own account or through any associate or family members, relatives or friends indulge in any insider trading.</t>
  </si>
  <si>
    <t xml:space="preserve">FPI Regs 2019, Third Schedule, paras 9–10</t>
  </si>
  <si>
    <t xml:space="preserve">OBL/CO/505</t>
  </si>
  <si>
    <t xml:space="preserve">Compliance officer spots a breach</t>
  </si>
  <si>
    <t xml:space="preserve">Officer</t>
  </si>
  <si>
    <t xml:space="preserve">FPI's compliance officer</t>
  </si>
  <si>
    <t xml:space="preserve">Finding</t>
  </si>
  <si>
    <t xml:space="preserve">The fund bought securities outside its permitted list</t>
  </si>
  <si>
    <t xml:space="preserve">Management</t>
  </si>
  <si>
    <t xml:space="preserve">Asks to wait until the quarterly board meeting</t>
  </si>
  <si>
    <t xml:space="preserve">What must the officer do?</t>
  </si>
  <si>
    <t xml:space="preserve">What's the officer's duty?</t>
  </si>
  <si>
    <t xml:space="preserve">Wait for the quarterly board meeting to decide</t>
  </si>
  <si>
    <t xml:space="preserve">Report it to SEBI and the DDP now</t>
  </si>
  <si>
    <t xml:space="preserve">Report only to the global custodian</t>
  </si>
  <si>
    <t xml:space="preserve">Fix it quietly and log it</t>
  </si>
  <si>
    <t xml:space="preserve">The compliance officer must immediately and independently report any non-compliance observed to SEBI and the DDP.</t>
  </si>
  <si>
    <t xml:space="preserve">The duty is immediate, not quarterly.</t>
  </si>
  <si>
    <t xml:space="preserve">The report goes to SEBI and the DDP.</t>
  </si>
  <si>
    <t xml:space="preserve">Fixing it doesn't replace reporting.</t>
  </si>
  <si>
    <t xml:space="preserve">SEBI (FPI) Regulations, 2019, Regulation 27(2)</t>
  </si>
  <si>
    <t xml:space="preserve">(2) The compliance officer shall immediately and independently report any non-compliance observed by him to the Board and the designated depository participant.</t>
  </si>
  <si>
    <t xml:space="preserve">FPI Regs 2019, Reg 27(2)</t>
  </si>
  <si>
    <t xml:space="preserve">OBL/REC/506</t>
  </si>
  <si>
    <t xml:space="preserve">Records an FPI must keep</t>
  </si>
  <si>
    <t xml:space="preserve">Records kept</t>
  </si>
  <si>
    <t xml:space="preserve">Remittance accounts, bank statements, contract notes, intermediary emails</t>
  </si>
  <si>
    <t xml:space="preserve">Auditor suggests</t>
  </si>
  <si>
    <t xml:space="preserve">Also needed?</t>
  </si>
  <si>
    <t xml:space="preserve">Which isn't a required record?</t>
  </si>
  <si>
    <t xml:space="preserve">Which is not on the required list?</t>
  </si>
  <si>
    <t xml:space="preserve">Accounts of remittances and gains or losses</t>
  </si>
  <si>
    <t xml:space="preserve">Bank statements</t>
  </si>
  <si>
    <t xml:space="preserve">Contract notes</t>
  </si>
  <si>
    <t xml:space="preserve">Board minutes of every investee company</t>
  </si>
  <si>
    <t xml:space="preserve">Reg 29 lists the FPI's required records: accounts of remittances and realised gains or losses, bank statements, contract notes, and communications with DDPs, brokers and DPs. Investee companies' board minutes aren't on it.</t>
  </si>
  <si>
    <t xml:space="preserve">Remittance accounts are required under Reg 29(a).</t>
  </si>
  <si>
    <t xml:space="preserve">Bank statements are required under Reg 29(b).</t>
  </si>
  <si>
    <t xml:space="preserve">Contract notes are required under Reg 29(c).</t>
  </si>
  <si>
    <t xml:space="preserve">SEBI (FPI) Regulations, 2019, Regulation 29</t>
  </si>
  <si>
    <t xml:space="preserve">29. Every foreign portfolio investor shall maintain the following books of accounts, records and documents, namely – (a) true and fair accounts relating to remittances of funds to India for buying and selling; and realising capital gains or losses on investment made from such remittances; (b) bank statement of accounts; (c) contract notes relating to purchase and sale of securities; and (d) communication including in electronic mode from and to the designated depository participants, stock brokers and depository participants regarding investments in securities.</t>
  </si>
  <si>
    <t xml:space="preserve">FPI Regs 2019, Reg 29</t>
  </si>
  <si>
    <t xml:space="preserve">OBL/GRP/507</t>
  </si>
  <si>
    <t xml:space="preserve">New sister fund joins the group</t>
  </si>
  <si>
    <t xml:space="preserve">Its parent launches another FPI it owns 70% of</t>
  </si>
  <si>
    <t xml:space="preserve">The two are now an investor group</t>
  </si>
  <si>
    <t xml:space="preserve">When must the DDP know?</t>
  </si>
  <si>
    <t xml:space="preserve">Only when combined holdings near 10%</t>
  </si>
  <si>
    <t xml:space="preserve">Within 90 days of the launch</t>
  </si>
  <si>
    <t xml:space="preserve">Any direct or indirect change in common ownership or control of the FPI or its investor group must be brought to the DDP's notice as soon as possible and within 7 working days. The FPI must keep accurate investor-group details with the DDP at all times.</t>
  </si>
  <si>
    <t xml:space="preserve">Continuance is too late.</t>
  </si>
  <si>
    <t xml:space="preserve">The duty doesn't wait for the 10% limit.</t>
  </si>
  <si>
    <t xml:space="preserve">SEBI (FPI) Regulations, 2019, Regulation 22(5)</t>
  </si>
  <si>
    <t xml:space="preserve">(5) In case of any direct or indirect change in structure or common ownership or control of the foreign portfolio investor or investor group, it shall, as soon as possible but not later than seven working days, bring the same to the notice of its designated depository participant.</t>
  </si>
  <si>
    <t xml:space="preserve">FPI Regs 2019, Reg 22(1)(c), (l), Reg 22(5)</t>
  </si>
  <si>
    <t xml:space="preserve">OBL/SEG/508</t>
  </si>
  <si>
    <t xml:space="preserve">New sub-fund starts investing</t>
  </si>
  <si>
    <t xml:space="preserve">Umbrella fund with ring-fenced sub-funds</t>
  </si>
  <si>
    <t xml:space="preserve">Launches a new sub-fund that will invest in India</t>
  </si>
  <si>
    <t xml:space="preserve">Send BO details at next continuance</t>
  </si>
  <si>
    <t xml:space="preserve">When are BO details due?</t>
  </si>
  <si>
    <t xml:space="preserve">When must BO details be given?</t>
  </si>
  <si>
    <t xml:space="preserve">At the umbrella fund's next continuance</t>
  </si>
  <si>
    <t xml:space="preserve">Before it invests in India</t>
  </si>
  <si>
    <t xml:space="preserve">Within 30 days of its first trade</t>
  </si>
  <si>
    <t xml:space="preserve">Never; the umbrella's details suffice</t>
  </si>
  <si>
    <t xml:space="preserve">FPIs with segregated portfolios give a BO declaration for each sub-fund or share class that invests in India. For a new one, BO information must be given before investing in India through it.</t>
  </si>
  <si>
    <t xml:space="preserve">Continuance is too late for a new sub-fund.</t>
  </si>
  <si>
    <t xml:space="preserve">It's due before the first investment, not after.</t>
  </si>
  <si>
    <t xml:space="preserve">Each investing sub-fund needs its own declaration.</t>
  </si>
  <si>
    <t xml:space="preserve">SEBI Operational Guidelines for FPIs and DDPs, Part A 13(i)</t>
  </si>
  <si>
    <t xml:space="preserve">FPIs having segregated portfolio(s) are required to provide BO declaration for each fund/sub-fund/share class/equivalent structure that invests in India. Further, in case of addition of fund / sub fund / share class /equivalent structure with segregated portfolio that invests in India, the FPI shall be required to provide BO information prior to investing in India through such new fund/sub fund/share class/equivalent structure.</t>
  </si>
  <si>
    <t xml:space="preserve">Op. Guidelines Part A 13(i)</t>
  </si>
  <si>
    <t xml:space="preserve">OBL/SEG/509</t>
  </si>
  <si>
    <t xml:space="preserve">Sub-fund wound up</t>
  </si>
  <si>
    <t xml:space="preserve">Umbrella fund</t>
  </si>
  <si>
    <t xml:space="preserve">Closes a sub-fund that invested in India</t>
  </si>
  <si>
    <t xml:space="preserve">Who needs to know, and when?</t>
  </si>
  <si>
    <t xml:space="preserve">Already sold</t>
  </si>
  <si>
    <t xml:space="preserve">Intimate the DDP forthwith</t>
  </si>
  <si>
    <t xml:space="preserve">Tell SEBI at continuance</t>
  </si>
  <si>
    <t xml:space="preserve">Apply for fresh registration</t>
  </si>
  <si>
    <t xml:space="preserve">When a sub-fund, share class or equivalent structure that invests in India is deleted, the FPI must intimate the DDP forthwith.</t>
  </si>
  <si>
    <t xml:space="preserve">Deletion must be reported.</t>
  </si>
  <si>
    <t xml:space="preserve">The DDP must be told forthwith, not at continuance.</t>
  </si>
  <si>
    <t xml:space="preserve">No fresh registration is needed.</t>
  </si>
  <si>
    <t xml:space="preserve">SEBI Operational Guidelines for FPIs and DDPs, Part A 13(iii)</t>
  </si>
  <si>
    <t xml:space="preserve">For deletion of sub-fund/share classes/equivalent structure that invests in India, an intimation should be provided to DDP forthwith.</t>
  </si>
  <si>
    <t xml:space="preserve">Op. Guidelines Part A 13(iii)</t>
  </si>
  <si>
    <t xml:space="preserve">OBL/DIS/510</t>
  </si>
  <si>
    <t xml:space="preserve">Dispute with the DDP</t>
  </si>
  <si>
    <t xml:space="preserve">Dispute</t>
  </si>
  <si>
    <t xml:space="preserve">Fees and a delayed corporate action</t>
  </si>
  <si>
    <t xml:space="preserve">FPI plan</t>
  </si>
  <si>
    <t xml:space="preserve">Sue the DDP in a foreign court</t>
  </si>
  <si>
    <t xml:space="preserve">What route do the regulations set?</t>
  </si>
  <si>
    <t xml:space="preserve">Which route applies?</t>
  </si>
  <si>
    <t xml:space="preserve">Any court the FPI chooses, anywhere</t>
  </si>
  <si>
    <t xml:space="preserve">SEBI's mediation and arbitration route</t>
  </si>
  <si>
    <t xml:space="preserve">RBI's banking ombudsman</t>
  </si>
  <si>
    <t xml:space="preserve">The stock exchange's investor panel</t>
  </si>
  <si>
    <t xml:space="preserve">Claims or disputes between an FPI and a DDP about the DDP's securities-market activities go to a dispute resolution mechanism with mediation, conciliation and/or arbitration, under SEBI's procedure.</t>
  </si>
  <si>
    <t xml:space="preserve">Reg 24A sets SEBI's mechanism.</t>
  </si>
  <si>
    <t xml:space="preserve">The banking ombudsman isn't the specified route.</t>
  </si>
  <si>
    <t xml:space="preserve">Exchange panels aren't the specified route.</t>
  </si>
  <si>
    <t xml:space="preserve">SEBI (FPI) Regulations, 2019, Regulation 24A</t>
  </si>
  <si>
    <t xml:space="preserve">24A. All claims, differences or disputes between a foreign portfolio investor and a designated depository participant arising out of or in relation to the activities of the designated depository participant in the securities market shall be submitted to a dispute resolution mechanism that includes mediation and/or conciliation and/or arbitration, in accordance with the procedure specified by the Board.</t>
  </si>
  <si>
    <t xml:space="preserve">FPI Regs 2019, Reg 24A</t>
  </si>
  <si>
    <t xml:space="preserve">OBL/CUS/511</t>
  </si>
  <si>
    <t xml:space="preserve">Who signs the custody agreement?</t>
  </si>
  <si>
    <t xml:space="preserve">Arrangement</t>
  </si>
  <si>
    <t xml:space="preserve">Its global custodian handles all relationships</t>
  </si>
  <si>
    <t xml:space="preserve">Can the global custodian sign the local custody agreement?</t>
  </si>
  <si>
    <t xml:space="preserve">Timing</t>
  </si>
  <si>
    <t xml:space="preserve">Before first investment</t>
  </si>
  <si>
    <t xml:space="preserve">Who may sign?</t>
  </si>
  <si>
    <t xml:space="preserve">Only the FPI itself</t>
  </si>
  <si>
    <t xml:space="preserve">The FPI or its global custodian</t>
  </si>
  <si>
    <t xml:space="preserve">Only the DDP</t>
  </si>
  <si>
    <t xml:space="preserve">Nobody; none is needed</t>
  </si>
  <si>
    <t xml:space="preserve">An FPI, or a global custodian acting on its behalf, must enter into an agreement with the DDP to act as custodian before making any investment.</t>
  </si>
  <si>
    <t xml:space="preserve">A global custodian acting for it may sign.</t>
  </si>
  <si>
    <t xml:space="preserve">The DDP is the counterparty, not the signer for the FPI.</t>
  </si>
  <si>
    <t xml:space="preserve">An agreement is required before investing.</t>
  </si>
  <si>
    <t xml:space="preserve">SEBI (FPI) Regulations, 2019, Regulation 25(1)</t>
  </si>
  <si>
    <t xml:space="preserve">25. (1) A foreign portfolio investor or a global custodian who is acting on behalf of the foreign portfolio investor, shall enter into an agreement with the designated depository participant engaged by it to act as a custodian, before making any investment under these regulations.</t>
  </si>
  <si>
    <t xml:space="preserve">FPI Regs 2019, Reg 25(1)</t>
  </si>
  <si>
    <t xml:space="preserve">DDO/BLK/601</t>
  </si>
  <si>
    <t xml:space="preserve">Lapsed registration places an order</t>
  </si>
  <si>
    <t xml:space="preserve">FPI whose registration lapsed last month</t>
  </si>
  <si>
    <t xml:space="preserve">Order</t>
  </si>
  <si>
    <t xml:space="preserve">Buy 10,000 shares</t>
  </si>
  <si>
    <t xml:space="preserve">What's the DDP's duty?</t>
  </si>
  <si>
    <t xml:space="preserve">Process it; renewal can follow</t>
  </si>
  <si>
    <t xml:space="preserve">Block it</t>
  </si>
  <si>
    <t xml:space="preserve">Process it on a promise to renew</t>
  </si>
  <si>
    <t xml:space="preserve">Ask SEBI what to do first</t>
  </si>
  <si>
    <t xml:space="preserve">A DDP must ensure that only registered FPIs are allowed to invest in the securities market.</t>
  </si>
  <si>
    <t xml:space="preserve">The DDP can't let an unregistered entity invest.</t>
  </si>
  <si>
    <t xml:space="preserve">A promise doesn't restore registration.</t>
  </si>
  <si>
    <t xml:space="preserve">The duty is the DDP's own; it doesn't need SEBI first.</t>
  </si>
  <si>
    <t xml:space="preserve">SEBI (FPI) Regulations, 2019, Regulation 31(1)(e)</t>
  </si>
  <si>
    <t xml:space="preserve">(e) ensure that only registered foreign portfolio investors are allowed to invest in securities market;</t>
  </si>
  <si>
    <t xml:space="preserve">FPI Regs 2019, Reg 31(1)(e)</t>
  </si>
  <si>
    <t xml:space="preserve">DDO/COI/602</t>
  </si>
  <si>
    <t xml:space="preserve">Registration team and sales team</t>
  </si>
  <si>
    <t xml:space="preserve">Custodian bank</t>
  </si>
  <si>
    <t xml:space="preserve">Relationship managers approve FPI registrations to speed up onboarding</t>
  </si>
  <si>
    <t xml:space="preserve">Conflict of interest</t>
  </si>
  <si>
    <t xml:space="preserve">Yes, as long as the RM is senior enough</t>
  </si>
  <si>
    <t xml:space="preserve">No. Registration must be segregated</t>
  </si>
  <si>
    <t xml:space="preserve">Yes, with client consent</t>
  </si>
  <si>
    <t xml:space="preserve">A DDP must segregate activities so there's no conflict of interest between granting FPI registration as a DDP and its other activities.</t>
  </si>
  <si>
    <t xml:space="preserve">Seniority doesn't remove the conflict.</t>
  </si>
  <si>
    <t xml:space="preserve">The rule applies to all registrations.</t>
  </si>
  <si>
    <t xml:space="preserve">Client consent doesn't override the segregation duty.</t>
  </si>
  <si>
    <t xml:space="preserve">SEBI (FPI) Regulations, 2019, Regulation 31(3)</t>
  </si>
  <si>
    <t xml:space="preserve">(3) The designated depository participant shall maintain segregation of activities such that there is no conflict of interest between the activity of grant of registration to a foreign portfolio investor in the capacity of a designated depository participant and its other activities.</t>
  </si>
  <si>
    <t xml:space="preserve">FPI Regs 2019, Reg 31(3)</t>
  </si>
  <si>
    <t xml:space="preserve">DDO/RPT/603</t>
  </si>
  <si>
    <t xml:space="preserve">Monthly applications report</t>
  </si>
  <si>
    <t xml:space="preserve">Received 40 FPI applications in March</t>
  </si>
  <si>
    <t xml:space="preserve">Monthly report on applications to SEBI</t>
  </si>
  <si>
    <t xml:space="preserve">When is March's report due?</t>
  </si>
  <si>
    <t xml:space="preserve">Prescribed annexure</t>
  </si>
  <si>
    <t xml:space="preserve">When is it due?</t>
  </si>
  <si>
    <t xml:space="preserve">31 March</t>
  </si>
  <si>
    <t xml:space="preserve">By 10 April</t>
  </si>
  <si>
    <t xml:space="preserve">By 30 April</t>
  </si>
  <si>
    <t xml:space="preserve">With the annual audit</t>
  </si>
  <si>
    <t xml:space="preserve">Every DDP sends SEBI a monthly report on applications received from FPI applicants. The report for a month is due by the 10th of the following month.</t>
  </si>
  <si>
    <t xml:space="preserve">It covers the full month, so it can't be due on its last day.</t>
  </si>
  <si>
    <t xml:space="preserve">The deadline is the 10th.</t>
  </si>
  <si>
    <t xml:space="preserve">It's monthly, not annual.</t>
  </si>
  <si>
    <t xml:space="preserve">SEBI Operational Guidelines for FPIs and DDPs, Part A 9(i)</t>
  </si>
  <si>
    <t xml:space="preserve">Every DDP shall submit to SEBI monthly reports on application received from FPI applicants as per the format set out in Annexure C hereto and such other reports as may be required by SEBI. The report pertaining to a month may be submitted by DDPs to SEBI latest by 10th of the following month.</t>
  </si>
  <si>
    <t xml:space="preserve">Op. Guidelines Part A 9(i); FPI Regs 2019, Reg 31(4)</t>
  </si>
  <si>
    <t xml:space="preserve">DDO/RPT/604</t>
  </si>
  <si>
    <t xml:space="preserve">Daily transaction reporting</t>
  </si>
  <si>
    <t xml:space="preserve">Services 300 FPIs</t>
  </si>
  <si>
    <t xml:space="preserve">How often must it report FPI transactions?</t>
  </si>
  <si>
    <t xml:space="preserve">To whom</t>
  </si>
  <si>
    <t xml:space="preserve">Depositories and SEBI</t>
  </si>
  <si>
    <t xml:space="preserve">Current practice</t>
  </si>
  <si>
    <t xml:space="preserve">Weekly batches</t>
  </si>
  <si>
    <t xml:space="preserve">Weekly is fine</t>
  </si>
  <si>
    <t xml:space="preserve">Daily</t>
  </si>
  <si>
    <t xml:space="preserve">Monthly</t>
  </si>
  <si>
    <t xml:space="preserve">Only on request</t>
  </si>
  <si>
    <t xml:space="preserve">The custodian reports to the depositories and SEBI, on a daily basis, the transactions entered into by FPIs. It also monitors FPI investments and keeps true and fair records.</t>
  </si>
  <si>
    <t xml:space="preserve">Weekly batches don't meet the daily requirement.</t>
  </si>
  <si>
    <t xml:space="preserve">Monthly is too infrequent.</t>
  </si>
  <si>
    <t xml:space="preserve">Reporting is routine, not on request.</t>
  </si>
  <si>
    <t xml:space="preserve">SEBI (FPI) Regulations, 2019, Regulation 25(2)(a)–(c)</t>
  </si>
  <si>
    <t xml:space="preserve">(a) report to the depositories and the Board on a daily basis the transactions entered into by the foreign portfolio investor in the form and manner specified by the Board or depositories from time to time; (b) monitor investment of the foreign portfolio investors; (c) maintain the relevant true and fair records, books of accounts, and documents including the records relating to transactions of foreign portfolio investors;</t>
  </si>
  <si>
    <t xml:space="preserve">FPI Regs 2019, Reg 25(2)(a)–(c)</t>
  </si>
  <si>
    <t xml:space="preserve">DDO/AUD/605</t>
  </si>
  <si>
    <t xml:space="preserve">What the annual review covers</t>
  </si>
  <si>
    <t xml:space="preserve">Approved custodian bank</t>
  </si>
  <si>
    <t xml:space="preserve">Review</t>
  </si>
  <si>
    <t xml:space="preserve">Annual review by an independent professional</t>
  </si>
  <si>
    <t xml:space="preserve">Draft scope</t>
  </si>
  <si>
    <t xml:space="preserve">IT security only</t>
  </si>
  <si>
    <t xml:space="preserve">Is the scope enough?</t>
  </si>
  <si>
    <t xml:space="preserve">What must the review cover?</t>
  </si>
  <si>
    <t xml:space="preserve">Systems, controls and regulatory compliance</t>
  </si>
  <si>
    <t xml:space="preserve">Financial statements only</t>
  </si>
  <si>
    <t xml:space="preserve">Complaints received only</t>
  </si>
  <si>
    <t xml:space="preserve">The annual independent review covers the DDP's systems, procedures and controls for meeting its obligations to clients, regulators and other bodies, and its compliance with the regulations and circulars.</t>
  </si>
  <si>
    <t xml:space="preserve">The scope is wider than IT security.</t>
  </si>
  <si>
    <t xml:space="preserve">It's a systems and compliance review, not a financial audit.</t>
  </si>
  <si>
    <t xml:space="preserve">Complaints are only part of it.</t>
  </si>
  <si>
    <t xml:space="preserve">SEBI (FPI) Regulations, 2019, Regulation 31(5)</t>
  </si>
  <si>
    <t xml:space="preserve">(5) The designated depository participant shall carry out an annual review of its systems, procedures and controls by an independent professional. Explanation: The review shall cover the systems and procedures being followed by them to meet its obligations towards its clients, regulators and other relevant bodies and compliance with the requirements of the regulations and circulars issued by the Board.</t>
  </si>
  <si>
    <t xml:space="preserve">FPI Regs 2019, Reg 31(5) and Explanation</t>
  </si>
  <si>
    <t xml:space="preserve">DDO/REC/606</t>
  </si>
  <si>
    <t xml:space="preserve">Where the DDP keeps its records</t>
  </si>
  <si>
    <t xml:space="preserve">Moving FPI registration records to a new data centre</t>
  </si>
  <si>
    <t xml:space="preserve">Does SEBI need to know?</t>
  </si>
  <si>
    <t xml:space="preserve">Retention</t>
  </si>
  <si>
    <t xml:space="preserve">Records kept indefinitely</t>
  </si>
  <si>
    <t xml:space="preserve">Physical and electronic</t>
  </si>
  <si>
    <t xml:space="preserve">Nothing at all</t>
  </si>
  <si>
    <t xml:space="preserve">Tell SEBI the location in writing</t>
  </si>
  <si>
    <t xml:space="preserve">Get RBI's prior approval</t>
  </si>
  <si>
    <t xml:space="preserve">Tell each FPI client</t>
  </si>
  <si>
    <t xml:space="preserve">A DDP must intimate SEBI in writing of the location where books, records and documents are kept, and preserve them at all times.</t>
  </si>
  <si>
    <t xml:space="preserve">SEBI must be told the location.</t>
  </si>
  <si>
    <t xml:space="preserve">RBI approval isn't the requirement.</t>
  </si>
  <si>
    <t xml:space="preserve">The duty is to SEBI, not clients.</t>
  </si>
  <si>
    <t xml:space="preserve">SEBI (FPI) Regulations, 2019, Regulation 32(2)–(3)</t>
  </si>
  <si>
    <t xml:space="preserve">(2) The designated depository participant shall intimate to the Board in writing the location where such books, records and documents shall be maintained. (3) Subject to the provisions of any other law for the time being in force, every designated depository participant shall preserve the books of accounts, physical or electronic records and documents specified in this regulation at all times.</t>
  </si>
  <si>
    <t xml:space="preserve">FPI Regs 2019, Reg 32(2)–(3)</t>
  </si>
  <si>
    <t xml:space="preserve">DDO/MAN/607</t>
  </si>
  <si>
    <t xml:space="preserve">Does a DDP need a manual?</t>
  </si>
  <si>
    <t xml:space="preserve">Newly approved</t>
  </si>
  <si>
    <t xml:space="preserve">Procedures</t>
  </si>
  <si>
    <t xml:space="preserve">Held informally by the team</t>
  </si>
  <si>
    <t xml:space="preserve">Is a written manual required?</t>
  </si>
  <si>
    <t xml:space="preserve">Inspection</t>
  </si>
  <si>
    <t xml:space="preserve">Due next year</t>
  </si>
  <si>
    <t xml:space="preserve">Is a manual required?</t>
  </si>
  <si>
    <t xml:space="preserve">No. Informal procedures are fine for a DDP</t>
  </si>
  <si>
    <t xml:space="preserve">Yes. A written manual is required</t>
  </si>
  <si>
    <t xml:space="preserve">Only after the first inspection</t>
  </si>
  <si>
    <t xml:space="preserve">Only for DDPs with over 100 clients</t>
  </si>
  <si>
    <t xml:space="preserve">Every DDP must have a manual setting out the systems and procedures for discharging its functions, along with adequate infrastructure, staff and systems, and mechanisms to review its controls.</t>
  </si>
  <si>
    <t xml:space="preserve">The guidelines require a written manual.</t>
  </si>
  <si>
    <t xml:space="preserve">It's needed from the start.</t>
  </si>
  <si>
    <t xml:space="preserve">There's no client-count threshold.</t>
  </si>
  <si>
    <t xml:space="preserve">SEBI Operational Guidelines for FPIs and DDPs, Part A 8(ii)</t>
  </si>
  <si>
    <t xml:space="preserve">Manual: Every DDP shall have a manual setting out systems and procedures to be followed for the effective and efficient discharge of its functions as a DDP.</t>
  </si>
  <si>
    <t xml:space="preserve">Op. Guidelines Part A 8(ii)</t>
  </si>
  <si>
    <t xml:space="preserve">DDO/REJ/608</t>
  </si>
  <si>
    <t xml:space="preserve">Recording a rejection</t>
  </si>
  <si>
    <t xml:space="preserve">Rejects an FPI application for sanctions concerns</t>
  </si>
  <si>
    <t xml:space="preserve">Where does the rejection reason go?</t>
  </si>
  <si>
    <t xml:space="preserve">Other DDPs</t>
  </si>
  <si>
    <t xml:space="preserve">May receive the same applicant</t>
  </si>
  <si>
    <t xml:space="preserve">Database</t>
  </si>
  <si>
    <t xml:space="preserve">Kept by NSDL and CDSL</t>
  </si>
  <si>
    <t xml:space="preserve">Keep the reason internal</t>
  </si>
  <si>
    <t xml:space="preserve">Record it in the shared applicant database</t>
  </si>
  <si>
    <t xml:space="preserve">Email the other DDPs</t>
  </si>
  <si>
    <t xml:space="preserve">Publish it on its website</t>
  </si>
  <si>
    <t xml:space="preserve">The depositories keep a database of FPI applicants. Every DDP inputs applicant details and, where it rejects an application, records the reason, which all DDPs can see.</t>
  </si>
  <si>
    <t xml:space="preserve">The reason must go in the shared database.</t>
  </si>
  <si>
    <t xml:space="preserve">The database is the channel, not email.</t>
  </si>
  <si>
    <t xml:space="preserve">Public disclosure isn't the requirement.</t>
  </si>
  <si>
    <t xml:space="preserve">SEBI Operational Guidelines for FPIs and DDPs, Part A 7(ii)</t>
  </si>
  <si>
    <t xml:space="preserve">The depositories (NSDL and CDSL) shall maintain a database of FPI applicants. Every DDP shall input the details of FPI applicants in the database. Where an FPI application is rejected by a DDP, the DDP shall mention the reason for such rejection in the database, which would be accessible to all DDPs.</t>
  </si>
  <si>
    <t xml:space="preserve">Op. Guidelines Part A 7(ii)</t>
  </si>
  <si>
    <t xml:space="preserve">DDO/CO/609</t>
  </si>
  <si>
    <t xml:space="preserve">DDP's compliance officer finds a breach</t>
  </si>
  <si>
    <t xml:space="preserve">FPI accounts opened before KYC was complete</t>
  </si>
  <si>
    <t xml:space="preserve">DDP's compliance officer</t>
  </si>
  <si>
    <t xml:space="preserve">Who must be told?</t>
  </si>
  <si>
    <t xml:space="preserve">Report only to the DDP's own board</t>
  </si>
  <si>
    <t xml:space="preserve">Report it to SEBI immediately</t>
  </si>
  <si>
    <t xml:space="preserve">Report to each affected FPI</t>
  </si>
  <si>
    <t xml:space="preserve">Wait for the annual review</t>
  </si>
  <si>
    <t xml:space="preserve">Every DDP appoints a compliance officer who must immediately and independently report any non-compliance observed to SEBI.</t>
  </si>
  <si>
    <t xml:space="preserve">Reporting internally isn't enough.</t>
  </si>
  <si>
    <t xml:space="preserve">The duty runs to SEBI.</t>
  </si>
  <si>
    <t xml:space="preserve">It's immediate.</t>
  </si>
  <si>
    <t xml:space="preserve">SEBI (FPI) Regulations, 2019, Regulation 33</t>
  </si>
  <si>
    <t xml:space="preserve">33. (1) Every designated depository participant shall appoint a compliance officer who shall be responsible for monitoring the compliance of the Act, rules and regulations, notifications, guidelines and instructions issued by the Board or the Central Government. (2) The compliance officer shall immediately and independently report any non-compliance observed by him to the Board.</t>
  </si>
  <si>
    <t xml:space="preserve">FPI Regs 2019, Reg 33</t>
  </si>
  <si>
    <t xml:space="preserve">DDO/SIG/610</t>
  </si>
  <si>
    <t xml:space="preserve">Naming the signatory</t>
  </si>
  <si>
    <t xml:space="preserve">Approving an FPI registration</t>
  </si>
  <si>
    <t xml:space="preserve">Approval letter</t>
  </si>
  <si>
    <t xml:space="preserve">Doesn't name who signed</t>
  </si>
  <si>
    <t xml:space="preserve">Who approved this?</t>
  </si>
  <si>
    <t xml:space="preserve">Is the letter complete?</t>
  </si>
  <si>
    <t xml:space="preserve">Nothing is missing</t>
  </si>
  <si>
    <t xml:space="preserve">The signatory's name</t>
  </si>
  <si>
    <t xml:space="preserve">SEBI's countersignature</t>
  </si>
  <si>
    <t xml:space="preserve">The FPI's PAN number</t>
  </si>
  <si>
    <t xml:space="preserve">The DDP must mention the name of its signatory or signatories in the FPI registration approval it communicates to the FPI.</t>
  </si>
  <si>
    <t xml:space="preserve">The guidelines require the signatory's name.</t>
  </si>
  <si>
    <t xml:space="preserve">SEBI doesn't countersign DDP approvals.</t>
  </si>
  <si>
    <t xml:space="preserve">PAN isn't the missing requirement here.</t>
  </si>
  <si>
    <t xml:space="preserve">SEBI Operational Guidelines for FPIs and DDPs, Part A 2(vii)</t>
  </si>
  <si>
    <t xml:space="preserve">DDP shall mention name of its signatory(ies) in the FPI registration approval while communicating registration approval to the FPI.</t>
  </si>
  <si>
    <t xml:space="preserve">Op. Guidelines Part A 2(vii)</t>
  </si>
  <si>
    <t xml:space="preserve">DDO/INS/611</t>
  </si>
  <si>
    <t xml:space="preserve">SEBI inspection without notice</t>
  </si>
  <si>
    <t xml:space="preserve">Notice</t>
  </si>
  <si>
    <t xml:space="preserve">Usually at least 10 days</t>
  </si>
  <si>
    <t xml:space="preserve">Situation</t>
  </si>
  <si>
    <t xml:space="preserve">SEBI orders an inspection with no notice</t>
  </si>
  <si>
    <t xml:space="preserve">Is that allowed?</t>
  </si>
  <si>
    <t xml:space="preserve">Can SEBI inspect without notice?</t>
  </si>
  <si>
    <t xml:space="preserve">No. 10 days' notice is always required first</t>
  </si>
  <si>
    <t xml:space="preserve">Yes, by written order, in investors' interest</t>
  </si>
  <si>
    <t xml:space="preserve">Only with RBI's consent</t>
  </si>
  <si>
    <t xml:space="preserve">Only during market hours</t>
  </si>
  <si>
    <t xml:space="preserve">SEBI normally gives at least 10 days' notice before inspecting a DDP, but it can direct an inspection without notice, by written order, where satisfied that's in investors' interest.</t>
  </si>
  <si>
    <t xml:space="preserve">The proviso allows no-notice inspections.</t>
  </si>
  <si>
    <t xml:space="preserve">RBI's consent isn't required.</t>
  </si>
  <si>
    <t xml:space="preserve">There's no market-hours condition.</t>
  </si>
  <si>
    <t xml:space="preserve">SEBI (FPI) Regulations, 2019, Regulation 37(1)</t>
  </si>
  <si>
    <t xml:space="preserve">37. (1) Before undertaking an inspection under regulation 36, the Board shall give not less than ten days' notice to the designated depository participants: Provided that where the Board is satisfied that, in the interest of the investors, no such notice should be given, it may, by an order in writing direct that such inspection be taken up without such notice.</t>
  </si>
  <si>
    <t xml:space="preserve">FPI Regs 2019, Reg 37(1)</t>
  </si>
  <si>
    <t xml:space="preserve">DDO/INS/612</t>
  </si>
  <si>
    <t xml:space="preserve">Who pays for the inspection?</t>
  </si>
  <si>
    <t xml:space="preserve">Appoints an outside auditor to inspect a DDP</t>
  </si>
  <si>
    <t xml:space="preserve">Cost</t>
  </si>
  <si>
    <t xml:space="preserve">Auditor's fees plus expenses</t>
  </si>
  <si>
    <t xml:space="preserve">DDP's view</t>
  </si>
  <si>
    <t xml:space="preserve">SEBI should bear it</t>
  </si>
  <si>
    <t xml:space="preserve">Who pays?</t>
  </si>
  <si>
    <t xml:space="preserve">Who bears the cost?</t>
  </si>
  <si>
    <t xml:space="preserve">The DDP</t>
  </si>
  <si>
    <t xml:space="preserve">The depository</t>
  </si>
  <si>
    <t xml:space="preserve">The FPI clients</t>
  </si>
  <si>
    <t xml:space="preserve">SEBI may recover from the DDP the expenses it incurs in inspecting or investigating its books, records and systems, including fees paid to auditors.</t>
  </si>
  <si>
    <t xml:space="preserve">SEBI can recover the cost.</t>
  </si>
  <si>
    <t xml:space="preserve">The depository doesn't pay.</t>
  </si>
  <si>
    <t xml:space="preserve">Clients aren't charged.</t>
  </si>
  <si>
    <t xml:space="preserve">SEBI (FPI) Regulations, 2019, Regulation 42</t>
  </si>
  <si>
    <t xml:space="preserve">42. The Board shall be entitled to recover from the designated depository participants or applicant, as the case may be, such expenses including the fees paid to the auditors as may be incurred by it for the purposes of inspecting or investigating the books of account, records, documents, infrastructures, systems and procedures or affairs of the designated depository participants or applicant, as the case may be.</t>
  </si>
  <si>
    <t xml:space="preserve">FPI Regs 2019, Reg 41–42</t>
  </si>
  <si>
    <t xml:space="preserve">DDO/MED/613</t>
  </si>
  <si>
    <t xml:space="preserve">DDP employee on a podcast</t>
  </si>
  <si>
    <t xml:space="preserve">Speaker</t>
  </si>
  <si>
    <t xml:space="preserve">Head of custody at a DDP</t>
  </si>
  <si>
    <t xml:space="preserve">Statement</t>
  </si>
  <si>
    <t xml:space="preserve">Recommends a listed bank stock</t>
  </si>
  <si>
    <t xml:space="preserve">Employer</t>
  </si>
  <si>
    <t xml:space="preserve">Holds that stock</t>
  </si>
  <si>
    <t xml:space="preserve">Disclosure</t>
  </si>
  <si>
    <t xml:space="preserve">What was required?</t>
  </si>
  <si>
    <t xml:space="preserve">Nothing; DDPs don't manage money</t>
  </si>
  <si>
    <t xml:space="preserve">Disclosure of its interests</t>
  </si>
  <si>
    <t xml:space="preserve">SEBI's pre-approval of the podcast</t>
  </si>
  <si>
    <t xml:space="preserve">A general disclaimer only</t>
  </si>
  <si>
    <t xml:space="preserve">A DDP or its employees can't give investment advice in public media without disclosing their interest, including long or short positions. An employee also discloses the interests of dependent family and the employer.</t>
  </si>
  <si>
    <t xml:space="preserve">The disclosure rule applies to DDPs too.</t>
  </si>
  <si>
    <t xml:space="preserve">No pre-approval is needed, only disclosure.</t>
  </si>
  <si>
    <t xml:space="preserve">A generic disclaimer doesn't disclose the actual interest.</t>
  </si>
  <si>
    <t xml:space="preserve">SEBI (FPI) Regulations, 2019, Regulation 35</t>
  </si>
  <si>
    <t xml:space="preserve">35. (1) A designated depository participant, or any of its employees shall not render directly or indirectly any investment advice about any security in the publicly accessible media, whether real-time or otherwise, unless a disclosure of its interest including long or short position in the said security has been made, while rendering such advice. (2) In case, an employee of the designated depository participant is rendering such advice, he shall also disclose the interest of his dependent family members and his employer including their long or short position in the said security, while rendering such advice.</t>
  </si>
  <si>
    <t xml:space="preserve">FPI Regs 2019, Reg 35</t>
  </si>
  <si>
    <t xml:space="preserve">FEE/ADV/701</t>
  </si>
  <si>
    <t xml:space="preserve">How continuance fees are collected</t>
  </si>
  <si>
    <t xml:space="preserve">Services 200 FPIs</t>
  </si>
  <si>
    <t xml:space="preserve">How often does it collect registration fees from them?</t>
  </si>
  <si>
    <t xml:space="preserve">Practice proposed</t>
  </si>
  <si>
    <t xml:space="preserve">Yearly instalments</t>
  </si>
  <si>
    <t xml:space="preserve">Remittance</t>
  </si>
  <si>
    <t xml:space="preserve">To SEBI</t>
  </si>
  <si>
    <t xml:space="preserve">In yearly instalments</t>
  </si>
  <si>
    <t xml:space="preserve">Every three years, in advance</t>
  </si>
  <si>
    <t xml:space="preserve">Once, at first registration</t>
  </si>
  <si>
    <t xml:space="preserve">Monthly, with remittance</t>
  </si>
  <si>
    <t xml:space="preserve">DDPs collect registration fees from FPIs in advance once every three years and remit them to SEBI in the prescribed manner.</t>
  </si>
  <si>
    <t xml:space="preserve">Fees aren't collected yearly.</t>
  </si>
  <si>
    <t xml:space="preserve">They recur every three-year block.</t>
  </si>
  <si>
    <t xml:space="preserve">Collection is three-yearly; it's the remittance to SEBI that's monthly.</t>
  </si>
  <si>
    <t xml:space="preserve">SEBI (FPI) Regulations, 2019, Second Schedule, Part A(4)</t>
  </si>
  <si>
    <t xml:space="preserve">(4) The designated depository participants of the respective foreign portfolio investors shall collect the registration fees in advance once in every three years from all the foreign portfolio investors registered by it, and remit the fees to the Board in the manner specified by the Board from time to time.</t>
  </si>
  <si>
    <t xml:space="preserve">FPI Regs 2019, Second Schedule Part A(4)</t>
  </si>
  <si>
    <t xml:space="preserve">FEE/GRT/702</t>
  </si>
  <si>
    <t xml:space="preserve">Who sends the first fee to SEBI?</t>
  </si>
  <si>
    <t xml:space="preserve">Pays its fee with the application</t>
  </si>
  <si>
    <t xml:space="preserve">Grants registration</t>
  </si>
  <si>
    <t xml:space="preserve">Who remits the fee to SEBI?</t>
  </si>
  <si>
    <t xml:space="preserve">After grant</t>
  </si>
  <si>
    <t xml:space="preserve">Who remits it?</t>
  </si>
  <si>
    <t xml:space="preserve">The FPI, directly</t>
  </si>
  <si>
    <t xml:space="preserve">NSDL</t>
  </si>
  <si>
    <t xml:space="preserve">The global custodian</t>
  </si>
  <si>
    <t xml:space="preserve">On granting the certificate, the DDP remits the fee it received from the applicant to SEBI.</t>
  </si>
  <si>
    <t xml:space="preserve">The FPI pays the DDP, not SEBI directly.</t>
  </si>
  <si>
    <t xml:space="preserve">The depository doesn't remit FPI fees.</t>
  </si>
  <si>
    <t xml:space="preserve">The global custodian has no remittance role.</t>
  </si>
  <si>
    <t xml:space="preserve">SEBI (FPI) Regulations, 2019, Regulation 7(3)</t>
  </si>
  <si>
    <t xml:space="preserve">(3) Upon grant of certificate of registration to the applicant, the designated depository participant shall remit the fees, as specified in Part A of the Second Schedule, received from the applicant to the Board.</t>
  </si>
  <si>
    <t xml:space="preserve">FPI Regs 2019, Reg 7(3)</t>
  </si>
  <si>
    <t xml:space="preserve">FEE/RLX/703</t>
  </si>
  <si>
    <t xml:space="preserve">Asking SEBI to relax a rule</t>
  </si>
  <si>
    <t xml:space="preserve">Breached a procedural requirement due to a system outage</t>
  </si>
  <si>
    <t xml:space="preserve">Apply to SEBI for relaxation</t>
  </si>
  <si>
    <t xml:space="preserve">What fee goes with the application?</t>
  </si>
  <si>
    <t xml:space="preserve">Refundable</t>
  </si>
  <si>
    <t xml:space="preserve">No fee at all</t>
  </si>
  <si>
    <t xml:space="preserve">US$1,000, non-refundable</t>
  </si>
  <si>
    <t xml:space="preserve">US$2,500, refundable if rejected</t>
  </si>
  <si>
    <t xml:space="preserve">US$250</t>
  </si>
  <si>
    <t xml:space="preserve">SEBI may relax strict enforcement where non-compliance is beyond the entity's control or the requirement is procedural or technical. An FPI's application must carry a non-refundable fee of US$1,000.</t>
  </si>
  <si>
    <t xml:space="preserve">Reg 43B prescribes a fee.</t>
  </si>
  <si>
    <t xml:space="preserve">The fee is US$1,000 and non-refundable.</t>
  </si>
  <si>
    <t xml:space="preserve">US$250 is the Category II registration fee.</t>
  </si>
  <si>
    <t xml:space="preserve">SEBI (FPI) Regulations, 2019, Regulation 43B</t>
  </si>
  <si>
    <t xml:space="preserve">43B. (1) The Board may suo motu or on an application made by a foreign portfolio investor, for reasons recorded in writing, grant relaxation from the strict enforcement of any of the provisions of these regulations, subject to such conditions as the Board deems fit to impose in the interests of investors and the securities market and for the development of the securities market, if the Board is satisfied that: (a) the non-compliance is caused due to factors beyond the control of the entity; or (b) the requirement is procedural or technical in nature. (2) The application referred to under sub-regulation (1) shall be accompanied by a nonrefundable fee of US $ 1,000 payable by way of NEFT/ RTGS/ IMPS or any other mode allowed by the Reserve Bank of India in the designated bank account of the Board.</t>
  </si>
  <si>
    <t xml:space="preserve">FPI Regs 2019, Reg 43B</t>
  </si>
  <si>
    <t xml:space="preserve">FEE/DDP/704</t>
  </si>
  <si>
    <t xml:space="preserve">When the DDP approval fee is paid</t>
  </si>
  <si>
    <t xml:space="preserve">Paid</t>
  </si>
  <si>
    <t xml:space="preserve">₹10,000 with the application</t>
  </si>
  <si>
    <t xml:space="preserve">When is the ₹5,00,000 approval fee due?</t>
  </si>
  <si>
    <t xml:space="preserve">Awaiting SEBI decision</t>
  </si>
  <si>
    <t xml:space="preserve">With the application</t>
  </si>
  <si>
    <t xml:space="preserve">At grant of approval</t>
  </si>
  <si>
    <t xml:space="preserve">After the first year</t>
  </si>
  <si>
    <t xml:space="preserve">It's waived for banks</t>
  </si>
  <si>
    <t xml:space="preserve">A DDP pays the ₹10,000 application fee when applying, and the ₹5,00,000 approval fee when SEBI grants approval. Both must be paid before it starts activity.</t>
  </si>
  <si>
    <t xml:space="preserve">Only the ₹10,000 goes with the application.</t>
  </si>
  <si>
    <t xml:space="preserve">It's due at grant, not after a year.</t>
  </si>
  <si>
    <t xml:space="preserve">There's no waiver for banks.</t>
  </si>
  <si>
    <t xml:space="preserve">SEBI (FPI) Regulations, 2019, Second Schedule, Part B</t>
  </si>
  <si>
    <t xml:space="preserve">(1) Every designated depository participant shall pay application fees and approval fees, before commencement of its activity. (2) Every designated depository participant shall pay application fees of ` 10,000/- at the time of making application, by way of direct credit through NEFT/RTGS/IMPS in the bank account in the name of “Securities and Exchange Board of India” payable at Mumbai. (3) Every designated depository participant shall pay approval fees of ` 5,00,000/- by way of direct credit through NEFT/RTGS/IMPS in the bank account in the name of “Securities and Exchange Board of India” payable at Mumbai, at the time of grant of prior approval by the Board.</t>
  </si>
  <si>
    <t xml:space="preserve">FPI Regs 2019, Second Schedule Part B</t>
  </si>
  <si>
    <t xml:space="preserve">FEE/REC/705</t>
  </si>
  <si>
    <t xml:space="preserve">Fees on the 2019 recategorisation</t>
  </si>
  <si>
    <t xml:space="preserve">Category II under the 2014 Regulations</t>
  </si>
  <si>
    <t xml:space="preserve">2019</t>
  </si>
  <si>
    <t xml:space="preserve">Deemed recategorised to Category I</t>
  </si>
  <si>
    <t xml:space="preserve">Did it owe extra fees?</t>
  </si>
  <si>
    <t xml:space="preserve">Later request</t>
  </si>
  <si>
    <t xml:space="preserve">Was any incremental fee payable?</t>
  </si>
  <si>
    <t xml:space="preserve">Yes, the difference between the two category fees</t>
  </si>
  <si>
    <t xml:space="preserve">No incremental fee</t>
  </si>
  <si>
    <t xml:space="preserve">Yes, a flat US$500</t>
  </si>
  <si>
    <t xml:space="preserve">Only on its next continuance</t>
  </si>
  <si>
    <t xml:space="preserve">No incremental fee was payable on deemed recategorisation under the 2019 Regulations. An FPI that later asks to move from Category II to Category I pays the applicable fees.</t>
  </si>
  <si>
    <t xml:space="preserve">The guidelines waived incremental fees for deemed recategorisation.</t>
  </si>
  <si>
    <t xml:space="preserve">There's no flat fee.</t>
  </si>
  <si>
    <t xml:space="preserve">It didn't owe anything extra for the deemed move.</t>
  </si>
  <si>
    <t xml:space="preserve">SEBI Operational Guidelines for FPIs and DDPs, Part A 1(v)</t>
  </si>
  <si>
    <t xml:space="preserve">No incremental fees is payable upon deemed re-categorization.</t>
  </si>
  <si>
    <t xml:space="preserve">Op. Guidelines Part A 1(v)</t>
  </si>
  <si>
    <t xml:space="preserve">SWG/EFF/801</t>
  </si>
  <si>
    <t xml:space="preserve">Applied in May, tagged when?</t>
  </si>
  <si>
    <t xml:space="preserve">Regulated pension fund</t>
  </si>
  <si>
    <t xml:space="preserve">Applied</t>
  </si>
  <si>
    <t xml:space="preserve">20 May 2026</t>
  </si>
  <si>
    <t xml:space="preserve">Tag as SWAGAT-FI immediately</t>
  </si>
  <si>
    <t xml:space="preserve">Circular</t>
  </si>
  <si>
    <t xml:space="preserve">Dated 16 January 2026</t>
  </si>
  <si>
    <t xml:space="preserve">When can the tag take effect?</t>
  </si>
  <si>
    <t xml:space="preserve">From 16 January 2026</t>
  </si>
  <si>
    <t xml:space="preserve">From 1 June 2026</t>
  </si>
  <si>
    <t xml:space="preserve">From 1 April 2027</t>
  </si>
  <si>
    <t xml:space="preserve">Immediately on application</t>
  </si>
  <si>
    <t xml:space="preserve">The SWAGAT-FI circular is dated 16 January 2026 but its provisions came into force on 1 June 2026.</t>
  </si>
  <si>
    <t xml:space="preserve">The circular date isn't its effective date.</t>
  </si>
  <si>
    <t xml:space="preserve">1 April 2027 isn't the effective date.</t>
  </si>
  <si>
    <t xml:space="preserve">The tag follows the circular's effective date.</t>
  </si>
  <si>
    <t xml:space="preserve">SEBI circular, 16 Jan 2026 (SWAGAT-FI), para 5</t>
  </si>
  <si>
    <t xml:space="preserve">The provisions of this circular shall come into force with effect from June 01, 2026.</t>
  </si>
  <si>
    <t xml:space="preserve">SEBI circular 16 Jan 2026, para 5</t>
  </si>
  <si>
    <t xml:space="preserve">SWG/APP/802</t>
  </si>
  <si>
    <t xml:space="preserve">How to apply for SWAGAT</t>
  </si>
  <si>
    <t xml:space="preserve">Existing Category I mutual fund</t>
  </si>
  <si>
    <t xml:space="preserve">SWAGAT-FI status</t>
  </si>
  <si>
    <t xml:space="preserve">What does it submit to the DDP?</t>
  </si>
  <si>
    <t xml:space="preserve">Prospectus extracts ready</t>
  </si>
  <si>
    <t xml:space="preserve">What starts the process?</t>
  </si>
  <si>
    <t xml:space="preserve">A fresh FPI application form with full KYC</t>
  </si>
  <si>
    <t xml:space="preserve">The Annex A requisition letter</t>
  </si>
  <si>
    <t xml:space="preserve">An email to SEBI</t>
  </si>
  <si>
    <t xml:space="preserve">Nothing; DDPs tag eligible FPIs automatically</t>
  </si>
  <si>
    <t xml:space="preserve">For registration or reclassification as SWAGAT-FI, the applicant gives its DDP the SWAGAT requisition letter in the Annex A format, with supporting documents or web links.</t>
  </si>
  <si>
    <t xml:space="preserve">Existing FPIs don't need a fresh application.</t>
  </si>
  <si>
    <t xml:space="preserve">The request goes to the DDP, not SEBI.</t>
  </si>
  <si>
    <t xml:space="preserve">The FPI must opt in; it isn't automatic.</t>
  </si>
  <si>
    <t xml:space="preserve">CDSSF SOP for SWAGAT-FI, 27 May 2026, Section 3 A.1–A.2</t>
  </si>
  <si>
    <t xml:space="preserve">1. Eligible FPI / FVCI applicants shall have the option of being identified as Single Window Automatic &amp; Generalised Access for Trusted Foreign Investor (SWAGAT-FI) at the time of initial registration. An existing FPI / FVCI meeting the eligibility criteria for SWAGAT-FI shall be permitted to opt for SWAGAT-FI status. 2. For registration or re-classification as SWAGAT-FI, the FPI/ FVCI applicant shall provide the SWAGAT requisition letter to DDP for verification. (Annexure A)</t>
  </si>
  <si>
    <t xml:space="preserve">SWAGAT SOP 27 May 2026, section 3 A.1–A.2; Annex A</t>
  </si>
  <si>
    <t xml:space="preserve">SWG/TAG/803</t>
  </si>
  <si>
    <t xml:space="preserve">How SWAGAT status shows up</t>
  </si>
  <si>
    <t xml:space="preserve">Approves a SWAGAT-FI application</t>
  </si>
  <si>
    <t xml:space="preserve">Where is the status recorded?</t>
  </si>
  <si>
    <t xml:space="preserve">Registrations</t>
  </si>
  <si>
    <t xml:space="preserve">FPI and FVCI</t>
  </si>
  <si>
    <t xml:space="preserve">System</t>
  </si>
  <si>
    <t xml:space="preserve">FPI registration portal and depository</t>
  </si>
  <si>
    <t xml:space="preserve">How is it recorded?</t>
  </si>
  <si>
    <t xml:space="preserve">A note in the DDP's internal file only</t>
  </si>
  <si>
    <t xml:space="preserve">SWAGAT flags on the portal and depository</t>
  </si>
  <si>
    <t xml:space="preserve">A new registration number</t>
  </si>
  <si>
    <t xml:space="preserve">A separate certificate from SEBI</t>
  </si>
  <si>
    <t xml:space="preserve">The depository provides for selecting the SWAGAT-FI-FPI and SWAGAT-FI-FVCI flags on the FPI registration portal and in the depository system.</t>
  </si>
  <si>
    <t xml:space="preserve">The status is flagged in shared systems, not just internally.</t>
  </si>
  <si>
    <t xml:space="preserve">The registration number doesn't change.</t>
  </si>
  <si>
    <t xml:space="preserve">SEBI doesn't issue a separate certificate.</t>
  </si>
  <si>
    <t xml:space="preserve">CDSSF SOP for SWAGAT-FI, 27 May 2026, Section 3 B.3</t>
  </si>
  <si>
    <t xml:space="preserve">3. Tagging of SWAGAT FI: Depository shall provide for selection of appropriate SWAGAT – FI- FPI and SWAGAT-FI-FVCI Flag on the FPI Registration portal and on the depository.</t>
  </si>
  <si>
    <t xml:space="preserve">SWAGAT SOP 27 May 2026, section 3 B.3</t>
  </si>
  <si>
    <t xml:space="preserve">SWG/UNI/804</t>
  </si>
  <si>
    <t xml:space="preserve">One view of FPI and FVCI holdings</t>
  </si>
  <si>
    <t xml:space="preserve">SWAGAT-FI holding listed equity as an FPI and startup shares as an FVCI</t>
  </si>
  <si>
    <t xml:space="preserve">How do the depositories show its holdings?</t>
  </si>
  <si>
    <t xml:space="preserve">Wish</t>
  </si>
  <si>
    <t xml:space="preserve">One consolidated view</t>
  </si>
  <si>
    <t xml:space="preserve">SWAGAT-FI tagged</t>
  </si>
  <si>
    <t xml:space="preserve">What do depositories provide?</t>
  </si>
  <si>
    <t xml:space="preserve">Separate, unconnected accounts</t>
  </si>
  <si>
    <t xml:space="preserve">One unified account view</t>
  </si>
  <si>
    <t xml:space="preserve">A view of FPI holdings only</t>
  </si>
  <si>
    <t xml:space="preserve">Nothing; it reconciles itself</t>
  </si>
  <si>
    <t xml:space="preserve">Depositories facilitate a single unified accounting and investing experience for SWAGAT-FIs, so securities held as an FPI, an FVCI, or a foreign investor in investment vehicles are kept in a unified manner.</t>
  </si>
  <si>
    <t xml:space="preserve">The circular requires a unified experience.</t>
  </si>
  <si>
    <t xml:space="preserve">FVCI holdings are included.</t>
  </si>
  <si>
    <t xml:space="preserve">Depositories have a duty to facilitate this.</t>
  </si>
  <si>
    <t xml:space="preserve">SEBI circular, 16 Jan 2026 (SWAGAT-FI), para 3.2 (vi)(IV)</t>
  </si>
  <si>
    <t xml:space="preserve">IV. Depositories shall facilitate a single unified accounting/investing experience for SWAGAT-FI to enable maintenance of all securities acquired as FPI or FVCI or as foreign investor investing in units of investment vehicles in a unified manner.</t>
  </si>
  <si>
    <t xml:space="preserve">SEBI circular 16 Jan 2026, para 3.2 (vi)(IV)</t>
  </si>
  <si>
    <t xml:space="preserve">SWG/INS/805</t>
  </si>
  <si>
    <t xml:space="preserve">Government-owned reinsurer</t>
  </si>
  <si>
    <t xml:space="preserve">Reinsurer 100% owned by a foreign government</t>
  </si>
  <si>
    <t xml:space="preserve">Appropriately regulated insurance company</t>
  </si>
  <si>
    <t xml:space="preserve">Includes some segregated accounts</t>
  </si>
  <si>
    <t xml:space="preserve">Under which route can it qualify?</t>
  </si>
  <si>
    <t xml:space="preserve">None; segregated accounts disqualify it</t>
  </si>
  <si>
    <t xml:space="preserve">As a government-related investor</t>
  </si>
  <si>
    <t xml:space="preserve">Only as a pension fund</t>
  </si>
  <si>
    <t xml:space="preserve">As an insurer, ignoring the segregated accounts</t>
  </si>
  <si>
    <t xml:space="preserve">The SOP says an insurer or reinsurer eligible for registration as a government-related investor, but registered under the insurance sub-category, is eligible for SWAGAT-FI as a government-related investor. That route has no segregated-portfolio test.</t>
  </si>
  <si>
    <t xml:space="preserve">The government-related route remains open.</t>
  </si>
  <si>
    <t xml:space="preserve">It isn't a pension fund.</t>
  </si>
  <si>
    <t xml:space="preserve">The insurance route does have the segregated-portfolio test.</t>
  </si>
  <si>
    <t xml:space="preserve">CDSSF SOP for SWAGAT-FI, 27 May 2026, Section 8, row 3 note</t>
  </si>
  <si>
    <t xml:space="preserve">Note: Appropriately regulated Insurance/ Reinsurance companies that are eligible for registration as Government related investor but have taken registration in the sub- category of appropriately regulated Insurance/ Reinsurance companies shall be eligible for SWAGAT-FI status as Government or Government related investor.</t>
  </si>
  <si>
    <t xml:space="preserve">SWAGAT SOP 27 May 2026, section 8, row 3 note</t>
  </si>
  <si>
    <t xml:space="preserve">SWG/PEN/806</t>
  </si>
  <si>
    <t xml:space="preserve">Pension fund that also fits the mutual fund route</t>
  </si>
  <si>
    <t xml:space="preserve">Registered under the pension-fund sub-category</t>
  </si>
  <si>
    <t xml:space="preserve">Also qualifies as</t>
  </si>
  <si>
    <t xml:space="preserve">Appropriately regulated retail unit trust</t>
  </si>
  <si>
    <t xml:space="preserve">Which SWAGAT route can it use?</t>
  </si>
  <si>
    <t xml:space="preserve">Available for both</t>
  </si>
  <si>
    <t xml:space="preserve">What are its options?</t>
  </si>
  <si>
    <t xml:space="preserve">Only the pension-fund route it registered under</t>
  </si>
  <si>
    <t xml:space="preserve">Government-related or retail fund status</t>
  </si>
  <si>
    <t xml:space="preserve">None; it must re-register first</t>
  </si>
  <si>
    <t xml:space="preserve">Whichever has the lower fee</t>
  </si>
  <si>
    <t xml:space="preserve">The SOP lets entities registered as pension funds that are also eligible as a mutual fund or government-related investor seek SWAGAT-FI status under those classifications, as applicable.</t>
  </si>
  <si>
    <t xml:space="preserve">The SOP allows the other routes too.</t>
  </si>
  <si>
    <t xml:space="preserve">No re-registration is needed.</t>
  </si>
  <si>
    <t xml:space="preserve">Fees don't decide the route.</t>
  </si>
  <si>
    <t xml:space="preserve">CDSSF SOP for SWAGAT-FI, 27 May 2026, Section 8, row 4</t>
  </si>
  <si>
    <t xml:space="preserve">Eligible entities that have taken registration in the sub- category of Pension Fund but are also eligible for registration as SWAGAT-FI as mutual fund or Government related investor may seek SWAGAT-FI status as: a. Government or Government related investors as provided under Regulation 5(a)(i) of the FPI Regulations, 2019 or b. Appropriately regulated mutual funds or unit trusts, subject to conditions specified by SEBI, as applicable.</t>
  </si>
  <si>
    <t xml:space="preserve">SWAGAT SOP 27 May 2026, section 8, row 4</t>
  </si>
  <si>
    <t xml:space="preserve">SWG/PEN/807</t>
  </si>
  <si>
    <t xml:space="preserve">Evidence for a US pension plan</t>
  </si>
  <si>
    <t xml:space="preserve">US corporate pension plan</t>
  </si>
  <si>
    <t xml:space="preserve">SWAGAT-FI as pension fund</t>
  </si>
  <si>
    <t xml:space="preserve">What evidence does the SOP point to?</t>
  </si>
  <si>
    <t xml:space="preserve">Regulators</t>
  </si>
  <si>
    <t xml:space="preserve">Department of Labor; IRS</t>
  </si>
  <si>
    <t xml:space="preserve">Which evidence fits?</t>
  </si>
  <si>
    <t xml:space="preserve">A letter from its bank</t>
  </si>
  <si>
    <t xml:space="preserve">A DOL Form 5500 record or IRS letter</t>
  </si>
  <si>
    <t xml:space="preserve">An SEC fund registration</t>
  </si>
  <si>
    <t xml:space="preserve">A self-declaration</t>
  </si>
  <si>
    <t xml:space="preserve">The SOP's Annex C lists the US Department of Labor (ERISA, with a Form 5500 search) or the Internal Revenue Service, where a certified copy of the determination letter is proof of tax-exempt pension status.</t>
  </si>
  <si>
    <t xml:space="preserve">A bank letter isn't the listed evidence.</t>
  </si>
  <si>
    <t xml:space="preserve">SEC registration is for funds, not pension plans.</t>
  </si>
  <si>
    <t xml:space="preserve">A self-declaration isn't enough.</t>
  </si>
  <si>
    <t xml:space="preserve">CDSSF SOP for SWAGAT-FI, 27 May 2026, Annex C (United States: U.S. Department of Labor or Internal Revenue Service)</t>
  </si>
  <si>
    <t xml:space="preserve">Certified copy of Sec 401 of Internal Revenue Service determination letter is proof of organization's tax-exempt status as, inter – alia, pension</t>
  </si>
  <si>
    <t xml:space="preserve">SWAGAT SOP 27 May 2026, Annex C (United States)</t>
  </si>
  <si>
    <t xml:space="preserve">SWG/SGP/808</t>
  </si>
  <si>
    <t xml:space="preserve">Checking a Singapore fund</t>
  </si>
  <si>
    <t xml:space="preserve">Singapore collective investment scheme</t>
  </si>
  <si>
    <t xml:space="preserve">DDP task</t>
  </si>
  <si>
    <t xml:space="preserve">Confirm it's a public retail fund</t>
  </si>
  <si>
    <t xml:space="preserve">Tool</t>
  </si>
  <si>
    <t xml:space="preserve">MAS OPERA portal</t>
  </si>
  <si>
    <t xml:space="preserve">Where to look?</t>
  </si>
  <si>
    <t xml:space="preserve">What does the SOP say to check?</t>
  </si>
  <si>
    <t xml:space="preserve">MAS's list of licensed banks</t>
  </si>
  <si>
    <t xml:space="preserve">OPERA's 'Offers for CIS' listings</t>
  </si>
  <si>
    <t xml:space="preserve">The Singapore company registry</t>
  </si>
  <si>
    <t xml:space="preserve">The fund's own website</t>
  </si>
  <si>
    <t xml:space="preserve">OPERA holds offer documents lodged with MAS. Under 'Offers for CIS', schemes constituted in Singapore are Authorised Schemes and those constituted abroad are Recognised Schemes.</t>
  </si>
  <si>
    <t xml:space="preserve">The bank list doesn't show fund status.</t>
  </si>
  <si>
    <t xml:space="preserve">The company registry doesn't show retail-fund status.</t>
  </si>
  <si>
    <t xml:space="preserve">The SOP points to the regulator's portal.</t>
  </si>
  <si>
    <t xml:space="preserve">CDSSF SOP for SWAGAT-FI, 27 May 2026, Annex B (Singapore)</t>
  </si>
  <si>
    <t xml:space="preserve">OPERA acts as repository for the offer documents and prospectus lodged or registered with MAS. The schemes constituted in Singapore are called Authorized Schemes (includes Mutual Funds, ETFs and REITs) and the Schemes constituted outside Singapore are called Recognized schemes. The appropriate section in OPERA to be checked for funds is “Offers for CIS”.</t>
  </si>
  <si>
    <t xml:space="preserve">SWAGAT SOP 27 May 2026, Annex B (Singapore)</t>
  </si>
  <si>
    <t xml:space="preserve">SWG/CAN/809</t>
  </si>
  <si>
    <t xml:space="preserve">Canadian mutual fund's retail status</t>
  </si>
  <si>
    <t xml:space="preserve">Canadian mutual fund</t>
  </si>
  <si>
    <t xml:space="preserve">Regulation</t>
  </si>
  <si>
    <t xml:space="preserve">National Instrument 81-102</t>
  </si>
  <si>
    <t xml:space="preserve">The rules don't require every mutual fund to be open to retail</t>
  </si>
  <si>
    <t xml:space="preserve">How does the DDP confirm retail access?</t>
  </si>
  <si>
    <t xml:space="preserve">What does the SOP suggest?</t>
  </si>
  <si>
    <t xml:space="preserve">Assume retail access, since it's a mutual fund</t>
  </si>
  <si>
    <t xml:space="preserve">Check SEDAR+ and the simplified prospectus</t>
  </si>
  <si>
    <t xml:space="preserve">Ask the Ontario Securities Commission for a letter</t>
  </si>
  <si>
    <t xml:space="preserve">Retail status can't be confirmed for Canadian funds</t>
  </si>
  <si>
    <t xml:space="preserve">The SOP notes that NI 81-101 doesn't mandate retail access, so the prospectus is used. Funds recognised as a conventional or alternative mutual fund on SEDAR+ that file a simplified prospectus can be treated as public retail funds after checking it.</t>
  </si>
  <si>
    <t xml:space="preserve">The SOP marks retail access To Be Verified.</t>
  </si>
  <si>
    <t xml:space="preserve">A regulator letter isn't the suggested route.</t>
  </si>
  <si>
    <t xml:space="preserve">It can be confirmed from the prospectus.</t>
  </si>
  <si>
    <t xml:space="preserve">CDSSF SOP for SWAGAT-FI, 27 May 2026, Annex B (Canada)</t>
  </si>
  <si>
    <t xml:space="preserve">While the National Instrument 81-101 does not mandate a Mutual fund to be open to retail public for all mutual funds, the prospectus should be used to verify these details. Generally, funds recognized as Mutual Fund/ETF or RRSP at SEDAR/ SEDAR+, can be considered as Public Retail Fund based on verification from simplified prospectus</t>
  </si>
  <si>
    <t xml:space="preserve">SWAGAT SOP 27 May 2026, Annex B (Canada)</t>
  </si>
  <si>
    <t xml:space="preserve">SWG/MAL/810</t>
  </si>
  <si>
    <t xml:space="preserve">Malaysian unit trust</t>
  </si>
  <si>
    <t xml:space="preserve">Malaysian unit trust fund</t>
  </si>
  <si>
    <t xml:space="preserve">Regulator</t>
  </si>
  <si>
    <t xml:space="preserve">Securities Commission Malaysia</t>
  </si>
  <si>
    <t xml:space="preserve">Guidelines don't require unit trusts to be open to retail</t>
  </si>
  <si>
    <t xml:space="preserve">What evidence settles retail access?</t>
  </si>
  <si>
    <t xml:space="preserve">What does the SOP say?</t>
  </si>
  <si>
    <t xml:space="preserve">Nothing; unit trusts are retail funds by law</t>
  </si>
  <si>
    <t xml:space="preserve">Check the prospectus or trust deed</t>
  </si>
  <si>
    <t xml:space="preserve">Malaysian funds can't qualify</t>
  </si>
  <si>
    <t xml:space="preserve">A board resolution from the manager</t>
  </si>
  <si>
    <t xml:space="preserve">The SOP notes that Malaysia's Guidelines on Unit Trust Funds don't mandate retail access, so the prospectus or trust deed is used to check for subscription restrictions.</t>
  </si>
  <si>
    <t xml:space="preserve">Malaysian unit trusts are listed in Annex B.</t>
  </si>
  <si>
    <t xml:space="preserve">A board resolution isn't the suggested evidence.</t>
  </si>
  <si>
    <t xml:space="preserve">CDSSF SOP for SWAGAT-FI, 27 May 2026, Annex B (Malaysia)</t>
  </si>
  <si>
    <t xml:space="preserve">While the Guidelines on Unit Trust Funds does not mandate a Unit trust to be open to retail public, the prospectus/ trust deed should be used to verify if there are any restrictions on subscriptions</t>
  </si>
  <si>
    <t xml:space="preserve">SWAGAT SOP 27 May 2026, Annex B (Malaysia)</t>
  </si>
  <si>
    <t xml:space="preserve">SWG/IFS/811</t>
  </si>
  <si>
    <t xml:space="preserve">GIFT City retail scheme</t>
  </si>
  <si>
    <t xml:space="preserve">Retail scheme in GIFT IFSC</t>
  </si>
  <si>
    <t xml:space="preserve">IFSCA, under the Fund Management Regulations 2025</t>
  </si>
  <si>
    <t xml:space="preserve">IFSCA-registered fund management entity</t>
  </si>
  <si>
    <t xml:space="preserve">Can it be a public retail fund for SWAGAT?</t>
  </si>
  <si>
    <t xml:space="preserve">Does it qualify?</t>
  </si>
  <si>
    <t xml:space="preserve">No. Only foreign jurisdictions are identified in the SOP</t>
  </si>
  <si>
    <t xml:space="preserve">Yes. IFSCA retail schemes are listed</t>
  </si>
  <si>
    <t xml:space="preserve">Only if it also registers in Luxembourg</t>
  </si>
  <si>
    <t xml:space="preserve">Only as Category II</t>
  </si>
  <si>
    <t xml:space="preserve">The SOP's Annex B lists retail schemes under the IFSCA Fund Management Regulations 2025 as meeting all five public retail fund conditions.</t>
  </si>
  <si>
    <t xml:space="preserve">GIFT IFSC is specifically listed.</t>
  </si>
  <si>
    <t xml:space="preserve">No foreign registration is needed.</t>
  </si>
  <si>
    <t xml:space="preserve">Category doesn't decide SWAGAT eligibility.</t>
  </si>
  <si>
    <t xml:space="preserve">CDSSF SOP for SWAGAT-FI, 27 May 2026, Annex B (GIFT IFSC)</t>
  </si>
  <si>
    <t xml:space="preserve">The scheme is open for subscription to retail investors and is offered pursuant to an offer document filed with IFSCA in accordance with applicable regulations.</t>
  </si>
  <si>
    <t xml:space="preserve">SWAGAT SOP 27 May 2026, Annex B (GIFT IFSC)</t>
  </si>
  <si>
    <t xml:space="preserve">SWG/HK/812</t>
  </si>
  <si>
    <t xml:space="preserve">Hong Kong MPF scheme</t>
  </si>
  <si>
    <t xml:space="preserve">Mandatory Provident Fund scheme</t>
  </si>
  <si>
    <t xml:space="preserve">Registered with</t>
  </si>
  <si>
    <t xml:space="preserve">Hong Kong MPF Schemes Authority</t>
  </si>
  <si>
    <t xml:space="preserve">Route sought</t>
  </si>
  <si>
    <t xml:space="preserve">Recognised in the SOP?</t>
  </si>
  <si>
    <t xml:space="preserve">Can it use the pension route?</t>
  </si>
  <si>
    <t xml:space="preserve">No. Hong Kong isn't covered</t>
  </si>
  <si>
    <t xml:space="preserve">Yes. MPF and ORSO schemes are listed</t>
  </si>
  <si>
    <t xml:space="preserve">Only as a retail unit trust</t>
  </si>
  <si>
    <t xml:space="preserve">Only if government owned</t>
  </si>
  <si>
    <t xml:space="preserve">Annex C lists Hong Kong's Mandatory Provident Fund Schemes Authority. MPF schemes registered under the MPF Schemes Ordinance and occupational schemes registered under ORSO are retirement schemes for this purpose.</t>
  </si>
  <si>
    <t xml:space="preserve">Hong Kong appears in Annex C.</t>
  </si>
  <si>
    <t xml:space="preserve">The pension route is available.</t>
  </si>
  <si>
    <t xml:space="preserve">Government ownership isn't required for pension funds.</t>
  </si>
  <si>
    <t xml:space="preserve">CDSSF SOP for SWAGAT-FI, 27 May 2026, Annex C (Hong Kong)</t>
  </si>
  <si>
    <t xml:space="preserve">ORSO schemes and MPF schemes are both retirement protection schemes set up for employees in Hong Kong.</t>
  </si>
  <si>
    <t xml:space="preserve">SWAGAT SOP 27 May 2026, Annex C (Hong Kong)</t>
  </si>
  <si>
    <t xml:space="preserve">SWG/REN/813</t>
  </si>
  <si>
    <t xml:space="preserve">Renewing a SWAGAT-FI FPI</t>
  </si>
  <si>
    <t xml:space="preserve">SWAGAT-FI, FPI registration only</t>
  </si>
  <si>
    <t xml:space="preserve">First 10-year block ending</t>
  </si>
  <si>
    <t xml:space="preserve">What does renewal involve?</t>
  </si>
  <si>
    <t xml:space="preserve">One change in directors</t>
  </si>
  <si>
    <t xml:space="preserve">A full new application with fresh KYC</t>
  </si>
  <si>
    <t xml:space="preserve">Pay US$2,500 and report changes</t>
  </si>
  <si>
    <t xml:space="preserve">Nothing; status is permanent</t>
  </si>
  <si>
    <t xml:space="preserve">Pay US$250 and a no-change declaration</t>
  </si>
  <si>
    <t xml:space="preserve">A SWAGAT-FI continuing for the next 10-year block pays the renewal fee to its DDP (US$2,500 for FPI only) and informs any changes in information submitted earlier.</t>
  </si>
  <si>
    <t xml:space="preserve">Renewal isn't a new application.</t>
  </si>
  <si>
    <t xml:space="preserve">Renewal is still due every 10 years.</t>
  </si>
  <si>
    <t xml:space="preserve">US$250 is the regular Category II fee.</t>
  </si>
  <si>
    <t xml:space="preserve">CDSSF SOP for SWAGAT-FI, 27 May 2026, Section 3 B.4</t>
  </si>
  <si>
    <t xml:space="preserve">4. Renewal of SWAGAT-FI: FPIs who wish to continue with their registration for the subsequent block of 10 years, should pay the fees to their DDPs and inform changes in information, if any, as submitted earlier.</t>
  </si>
  <si>
    <t xml:space="preserve">SWAGAT SOP 27 May 2026, section 3 B.4–B.5; circular 16 Jan 2026, para 3.3</t>
  </si>
  <si>
    <t xml:space="preserve">SWG/CTL/814</t>
  </si>
  <si>
    <t xml:space="preserve">One investor steers the fund</t>
  </si>
  <si>
    <t xml:space="preserve">Regulated unit trust, open to retail</t>
  </si>
  <si>
    <t xml:space="preserve">Investor base</t>
  </si>
  <si>
    <t xml:space="preserve">One institution holds 60% and directs investment choices</t>
  </si>
  <si>
    <t xml:space="preserve">Follows that investor's instructions</t>
  </si>
  <si>
    <t xml:space="preserve">Does it meet the retail fund conditions?</t>
  </si>
  <si>
    <t xml:space="preserve">Yes. It's regulated and open to retail investors</t>
  </si>
  <si>
    <t xml:space="preserve">No. The control and independence tests fail</t>
  </si>
  <si>
    <t xml:space="preserve">Yes, if the investor drops below 50%</t>
  </si>
  <si>
    <t xml:space="preserve">A public retail fund must operate as a blind pool with diversified investors, contributors must not control day-to-day operations, and the manager must be independent of contributors. A dominant investor directing the manager fails these tests.</t>
  </si>
  <si>
    <t xml:space="preserve">Being open to retail is only one of five conditions.</t>
  </si>
  <si>
    <t xml:space="preserve">The test is control and independence, not a 50% line.</t>
  </si>
  <si>
    <t xml:space="preserve">SEBI circular, 16 Jan 2026 (SWAGAT-FI), para 3.2 (vi)(I)(b)</t>
  </si>
  <si>
    <t xml:space="preserve">b. Appropriately regulated mutual fund or unit trust open for subscription to retail investors without any specific investor type requirements like accredited investors and complying with the following conditions: i. The applicant operates as a blind pool (i.e. common portfolio) with diversified investors and investments. ii. The contributors to the applicant do not have control over day-to-day operations of the applicant and the investment manager of the applicant is independent from such contributors;</t>
  </si>
  <si>
    <t xml:space="preserve">SEBI circular 16 Jan 2026, para 3.2 (vi)(I)(b)</t>
  </si>
  <si>
    <t xml:space="preserve">Custody Desk League · Question bank</t>
  </si>
  <si>
    <t xml:space="preserve">One row per question on the Questions sheet. Only rows with status = live reach players.</t>
  </si>
  <si>
    <t xml:space="preserve">Step</t>
  </si>
  <si>
    <t xml:space="preserve">What to do</t>
  </si>
  <si>
    <t xml:space="preserve">Edit</t>
  </si>
  <si>
    <t xml:space="preserve">Work on the Questions sheet. Yellow columns are yours to fill; the grey Check column fills itself.</t>
  </si>
  <si>
    <t xml:space="preserve">Review drafts</t>
  </si>
  <si>
    <t xml:space="preserve">New questions arrive as status = draft. Read each one, fix anything, then change status to live.</t>
  </si>
  <si>
    <t xml:space="preserve">Check column</t>
  </si>
  <si>
    <t xml:space="preserve">Every live row should say OK. Anything else names the problem (missing option, wrong answer letter, etc.).</t>
  </si>
  <si>
    <t xml:space="preserve">Retire</t>
  </si>
  <si>
    <t xml:space="preserve">When SEBI changes a rule, set status = retired. The question disappears without being deleted.</t>
  </si>
  <si>
    <t xml:space="preserve">Quotes</t>
  </si>
  <si>
    <t xml:space="preserve">quote_1 and quote_2 hold the exact wording of the regulation. The site shows them after each answer under What the regulation says. Paste text exactly as published; list numbering may be dropped.</t>
  </si>
  <si>
    <t xml:space="preserve">Export</t>
  </si>
  <si>
    <t xml:space="preserve">File → Save As → choose 'CSV UTF-8 (Comma delimited) (*.csv)' → file name questions.csv. Excel saves only the active sheet, so have the Questions sheet open when you do this.</t>
  </si>
  <si>
    <t xml:space="preserve">Upload</t>
  </si>
  <si>
    <t xml:space="preserve">Put questions.csv in the custody-desk-league folder next to index.html, then drag the folder onto app.netlify.com/projects/reglex/deploys.</t>
  </si>
  <si>
    <t xml:space="preserve">Confirm</t>
  </si>
  <si>
    <t xml:space="preserve">Open the site. The start screen shows how many live questions loaded from questions.csv, and how many rows were skipped.</t>
  </si>
  <si>
    <t xml:space="preserve">Keep this file</t>
  </si>
  <si>
    <t xml:space="preserve">Save the .xlsx too. It is your master copy; the CSV is just what the website reads.</t>
  </si>
  <si>
    <t xml:space="preserve">Column</t>
  </si>
  <si>
    <t xml:space="preserve">Meaning</t>
  </si>
  <si>
    <t xml:space="preserve">Unique ID, e.g. ONB/CAT/105. Never reuse an ID.</t>
  </si>
  <si>
    <t xml:space="preserve">live = shown to players · draft = waiting for review · retired = rule changed, hidden</t>
  </si>
  <si>
    <t xml:space="preserve">II, III, IV, V, VI, FEE, SW (SWAGAT-FI) or GS (GS-FPI)</t>
  </si>
  <si>
    <t xml:space="preserve">1 = Easy, 2 = Medium, 3 = Hard</t>
  </si>
  <si>
    <t xml:space="preserve">Short case title shown on the file card</t>
  </si>
  <si>
    <t xml:space="preserve">Fact 1 label (optional)</t>
  </si>
  <si>
    <t xml:space="preserve">Fact 1 value (optional)</t>
  </si>
  <si>
    <t xml:space="preserve">Fact 2 label (optional)</t>
  </si>
  <si>
    <t xml:space="preserve">Fact 2 value (optional)</t>
  </si>
  <si>
    <t xml:space="preserve">Fact 3 label (optional)</t>
  </si>
  <si>
    <t xml:space="preserve">Fact 3 value (optional)</t>
  </si>
  <si>
    <t xml:space="preserve">Fact 4 label (optional)</t>
  </si>
  <si>
    <t xml:space="preserve">Fact 4 value (optional)</t>
  </si>
  <si>
    <t xml:space="preserve">The question the player answers</t>
  </si>
  <si>
    <t xml:space="preserve">Answer option A</t>
  </si>
  <si>
    <t xml:space="preserve">Answer option B</t>
  </si>
  <si>
    <t xml:space="preserve">Answer option C</t>
  </si>
  <si>
    <t xml:space="preserve">Answer option D</t>
  </si>
  <si>
    <t xml:space="preserve">Letter of the correct option: A, B, C or D</t>
  </si>
  <si>
    <t xml:space="preserve">Why the correct option is right</t>
  </si>
  <si>
    <t xml:space="preserve">Why option A is wrong. Leave blank for the correct option.</t>
  </si>
  <si>
    <t xml:space="preserve">Why option B is wrong. Leave blank for the correct option.</t>
  </si>
  <si>
    <t xml:space="preserve">Why option C is wrong. Leave blank for the correct option.</t>
  </si>
  <si>
    <t xml:space="preserve">Why option D is wrong. Leave blank for the correct option.</t>
  </si>
  <si>
    <t xml:space="preserve">Where quote 1 comes from (document and clause)</t>
  </si>
  <si>
    <t xml:space="preserve">Exact wording of the regulation, shown after the answer</t>
  </si>
  <si>
    <t xml:space="preserve">Optional second clause: its source</t>
  </si>
  <si>
    <t xml:space="preserve">Optional second clause: exact wording</t>
  </si>
  <si>
    <t xml:space="preserve">Regulation / circular reference shown under the explanation</t>
  </si>
  <si>
    <t xml:space="preserve">Y = based on secondary sources; shows a Verify tag</t>
  </si>
  <si>
    <t xml:space="preserve">Date the rule was checked</t>
  </si>
  <si>
    <t xml:space="preserve">Your notes. Ignored by the website.</t>
  </si>
  <si>
    <t xml:space="preserve">Automatic. Shows OK or what to fix. Ignored by the website.</t>
  </si>
  <si>
    <t xml:space="preserve">Rules the website applies</t>
  </si>
  <si>
    <t xml:space="preserve">• A row is used only if status = live, it has all four options, and answer is A–D.</t>
  </si>
  <si>
    <t xml:space="preserve">• difficulty must be 1, 2 or 3. Anything else is skipped.</t>
  </si>
  <si>
    <t xml:space="preserve">• Don't rename or delete the header row. Column order can change; names can't.</t>
  </si>
  <si>
    <t xml:space="preserve">• Keep commas and quotes as normal text. Excel's CSV export handles them.</t>
  </si>
  <si>
    <t xml:space="preserve">Question bank summary</t>
  </si>
  <si>
    <t xml:space="preserve">Updates automatically from the Questions sheet.</t>
  </si>
  <si>
    <t xml:space="preserve">Chapter</t>
  </si>
  <si>
    <t xml:space="preserve">Live</t>
  </si>
  <si>
    <t xml:space="preserve">Draft</t>
  </si>
  <si>
    <t xml:space="preserve">Retired</t>
  </si>
  <si>
    <t xml:space="preserve">Live Easy</t>
  </si>
  <si>
    <t xml:space="preserve">Live Medium</t>
  </si>
  <si>
    <t xml:space="preserve">Live Hard</t>
  </si>
  <si>
    <t xml:space="preserve">Ch II · Registration of FPIs</t>
  </si>
  <si>
    <t xml:space="preserve">Ch III · Approval of DDPs</t>
  </si>
  <si>
    <t xml:space="preserve">Ch IV · Investment conditions</t>
  </si>
  <si>
    <t xml:space="preserve">Ch V · FPI obligations</t>
  </si>
  <si>
    <t xml:space="preserve">Ch VI · DDP obligations</t>
  </si>
  <si>
    <t xml:space="preserve">2nd Schedule · Fees</t>
  </si>
  <si>
    <t xml:space="preserve">Total</t>
  </si>
  <si>
    <t xml:space="preserve">Rows needing a fix</t>
  </si>
  <si>
    <t xml:space="preserve">Live questions needed for a 25-question round</t>
  </si>
</sst>
</file>

<file path=xl/styles.xml><?xml version="1.0" encoding="utf-8"?>
<styleSheet xmlns="http://schemas.openxmlformats.org/spreadsheetml/2006/main">
  <numFmts count="2">
    <numFmt numFmtId="164" formatCode="General"/>
    <numFmt numFmtId="165" formatCode="General"/>
  </numFmts>
  <fonts count="1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
      <b val="true"/>
      <sz val="16"/>
      <color rgb="FF13202B"/>
      <name val="Arial"/>
      <family val="0"/>
      <charset val="1"/>
    </font>
    <font>
      <sz val="11"/>
      <color rgb="FF5A6774"/>
      <name val="Arial"/>
      <family val="0"/>
      <charset val="1"/>
    </font>
    <font>
      <b val="true"/>
      <sz val="11"/>
      <name val="Arial"/>
      <family val="0"/>
      <charset val="1"/>
    </font>
    <font>
      <sz val="11"/>
      <name val="Arial"/>
      <family val="0"/>
      <charset val="1"/>
    </font>
    <font>
      <sz val="11"/>
      <name val="Consolas"/>
      <family val="0"/>
      <charset val="1"/>
    </font>
    <font>
      <b val="true"/>
      <sz val="14"/>
      <name val="Arial"/>
      <family val="0"/>
      <charset val="1"/>
    </font>
    <font>
      <sz val="11"/>
      <color rgb="FFFFFFFF"/>
      <name val="Arial"/>
      <family val="0"/>
      <charset val="1"/>
    </font>
    <font>
      <b val="true"/>
      <sz val="11"/>
      <color rgb="FFB0281F"/>
      <name val="Arial"/>
      <family val="0"/>
      <charset val="1"/>
    </font>
    <font>
      <sz val="11"/>
      <color rgb="FF0000FF"/>
      <name val="Arial"/>
      <family val="0"/>
      <charset val="1"/>
    </font>
  </fonts>
  <fills count="4">
    <fill>
      <patternFill patternType="none"/>
    </fill>
    <fill>
      <patternFill patternType="gray125"/>
    </fill>
    <fill>
      <patternFill patternType="solid">
        <fgColor rgb="FF13202B"/>
        <bgColor rgb="FF333333"/>
      </patternFill>
    </fill>
    <fill>
      <patternFill patternType="solid">
        <fgColor rgb="FFEEF1F4"/>
        <bgColor rgb="FFFBF0DC"/>
      </patternFill>
    </fill>
  </fills>
  <borders count="3">
    <border diagonalUp="false" diagonalDown="false">
      <left/>
      <right/>
      <top/>
      <bottom/>
      <diagonal/>
    </border>
    <border diagonalUp="false" diagonalDown="false">
      <left/>
      <right/>
      <top/>
      <bottom style="thin">
        <color rgb="FFC9D2DA"/>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9" fillId="0" borderId="2" xfId="0" applyFont="true" applyBorder="tru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3202B"/>
          <bgColor rgb="FF000000"/>
        </patternFill>
      </fill>
    </dxf>
    <dxf>
      <fill>
        <patternFill patternType="solid">
          <bgColor rgb="FF000000"/>
        </patternFill>
      </fill>
    </dxf>
    <dxf>
      <fill>
        <patternFill patternType="solid">
          <fgColor rgb="FFFFFFFF"/>
          <bgColor rgb="FF000000"/>
        </patternFill>
      </fill>
    </dxf>
    <dxf>
      <fill>
        <patternFill patternType="solid">
          <fgColor rgb="FFEEF1F4"/>
          <bgColor rgb="FF000000"/>
        </patternFill>
      </fill>
    </dxf>
    <dxf>
      <fill>
        <patternFill patternType="solid">
          <fgColor rgb="FF1D6A46"/>
          <bgColor rgb="FF000000"/>
        </patternFill>
      </fill>
    </dxf>
    <dxf>
      <font>
        <b val="1"/>
        <color rgb="FFB0281F"/>
      </font>
      <fill>
        <patternFill>
          <bgColor rgb="FFF8E6E4"/>
        </patternFill>
      </fill>
    </dxf>
    <dxf>
      <font>
        <b val="1"/>
        <color rgb="FF1D6A46"/>
      </font>
    </dxf>
    <dxf>
      <fill>
        <patternFill>
          <bgColor rgb="FFFBF0DC"/>
        </patternFill>
      </fill>
    </dxf>
    <dxf>
      <font>
        <i val="1"/>
        <color rgb="FF93A1AE"/>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D6A46"/>
      <rgbColor rgb="FFC0C0C0"/>
      <rgbColor rgb="FF808080"/>
      <rgbColor rgb="FF9999FF"/>
      <rgbColor rgb="FF993366"/>
      <rgbColor rgb="FFFBF0DC"/>
      <rgbColor rgb="FFEEF1F4"/>
      <rgbColor rgb="FF660066"/>
      <rgbColor rgb="FFFF8080"/>
      <rgbColor rgb="FF0066CC"/>
      <rgbColor rgb="FFC9D2DA"/>
      <rgbColor rgb="FF000080"/>
      <rgbColor rgb="FFFF00FF"/>
      <rgbColor rgb="FFFFFF00"/>
      <rgbColor rgb="FF00FFFF"/>
      <rgbColor rgb="FF800080"/>
      <rgbColor rgb="FF800000"/>
      <rgbColor rgb="FF008080"/>
      <rgbColor rgb="FF0000FF"/>
      <rgbColor rgb="FF00CCFF"/>
      <rgbColor rgb="FFCCFFFF"/>
      <rgbColor rgb="FFCCFFCC"/>
      <rgbColor rgb="FFF8E6E4"/>
      <rgbColor rgb="FF99CCFF"/>
      <rgbColor rgb="FFFF99CC"/>
      <rgbColor rgb="FFCC99FF"/>
      <rgbColor rgb="FFFFCC99"/>
      <rgbColor rgb="FF3366FF"/>
      <rgbColor rgb="FF33CCCC"/>
      <rgbColor rgb="FF99CC00"/>
      <rgbColor rgb="FFFFCC00"/>
      <rgbColor rgb="FFFF9900"/>
      <rgbColor rgb="FFFF6600"/>
      <rgbColor rgb="FF5A6774"/>
      <rgbColor rgb="FF93A1AE"/>
      <rgbColor rgb="FF003366"/>
      <rgbColor rgb="FF339966"/>
      <rgbColor rgb="FF13202B"/>
      <rgbColor rgb="FF333300"/>
      <rgbColor rgb="FFB0281F"/>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10"/>
    <col collapsed="false" customWidth="true" hidden="false" outlineLevel="0" max="4" min="4" style="0" width="11"/>
    <col collapsed="false" customWidth="true" hidden="false" outlineLevel="0" max="5" min="5" style="0" width="34"/>
    <col collapsed="false" customWidth="true" hidden="false" outlineLevel="0" max="6" min="6" style="0" width="16"/>
    <col collapsed="false" customWidth="true" hidden="false" outlineLevel="0" max="7" min="7" style="0" width="34"/>
    <col collapsed="false" customWidth="true" hidden="false" outlineLevel="0" max="8" min="8" style="0" width="16"/>
    <col collapsed="false" customWidth="true" hidden="false" outlineLevel="0" max="9" min="9" style="0" width="34"/>
    <col collapsed="false" customWidth="true" hidden="false" outlineLevel="0" max="10" min="10" style="0" width="16"/>
    <col collapsed="false" customWidth="true" hidden="false" outlineLevel="0" max="11" min="11" style="0" width="34"/>
    <col collapsed="false" customWidth="true" hidden="false" outlineLevel="0" max="12" min="12" style="0" width="16"/>
    <col collapsed="false" customWidth="true" hidden="false" outlineLevel="0" max="13" min="13" style="0" width="34"/>
    <col collapsed="false" customWidth="true" hidden="false" outlineLevel="0" max="14" min="14" style="0" width="40"/>
    <col collapsed="false" customWidth="true" hidden="false" outlineLevel="0" max="18" min="15" style="0" width="36"/>
    <col collapsed="false" customWidth="true" hidden="false" outlineLevel="0" max="19" min="19" style="0" width="9"/>
    <col collapsed="false" customWidth="true" hidden="false" outlineLevel="0" max="20" min="20" style="0" width="60"/>
    <col collapsed="false" customWidth="true" hidden="false" outlineLevel="0" max="24" min="21" style="0" width="44"/>
    <col collapsed="false" customWidth="true" hidden="false" outlineLevel="0" max="25" min="25" style="0" width="30"/>
    <col collapsed="false" customWidth="true" hidden="false" outlineLevel="0" max="26" min="26" style="0" width="70"/>
    <col collapsed="false" customWidth="true" hidden="false" outlineLevel="0" max="27" min="27" style="0" width="30"/>
    <col collapsed="false" customWidth="true" hidden="false" outlineLevel="0" max="28" min="28" style="0" width="70"/>
    <col collapsed="false" customWidth="true" hidden="false" outlineLevel="0" max="29" min="29" style="0" width="40"/>
    <col collapsed="false" customWidth="true" hidden="false" outlineLevel="0" max="30" min="30" style="0" width="8"/>
    <col collapsed="false" customWidth="true" hidden="false" outlineLevel="0" max="31" min="31" style="0" width="11"/>
    <col collapsed="false" customWidth="true" hidden="false" outlineLevel="0" max="32" min="32" style="0" width="36"/>
    <col collapsed="false" customWidth="true" hidden="false" outlineLevel="0" max="33" min="33" style="0" width="22"/>
  </cols>
  <sheetData>
    <row r="1" customFormat="false" ht="21.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customFormat="false" ht="79.85" hidden="false" customHeight="false" outlineLevel="0" collapsed="false">
      <c r="A2" s="2" t="s">
        <v>33</v>
      </c>
      <c r="B2" s="2" t="s">
        <v>34</v>
      </c>
      <c r="C2" s="2" t="s">
        <v>35</v>
      </c>
      <c r="D2" s="2" t="n">
        <v>1</v>
      </c>
      <c r="E2" s="2" t="s">
        <v>36</v>
      </c>
      <c r="F2" s="2" t="s">
        <v>37</v>
      </c>
      <c r="G2" s="2" t="s">
        <v>38</v>
      </c>
      <c r="H2" s="2" t="s">
        <v>39</v>
      </c>
      <c r="I2" s="2" t="s">
        <v>40</v>
      </c>
      <c r="J2" s="2" t="s">
        <v>41</v>
      </c>
      <c r="K2" s="2" t="s">
        <v>42</v>
      </c>
      <c r="L2" s="2" t="s">
        <v>43</v>
      </c>
      <c r="M2" s="2" t="s">
        <v>44</v>
      </c>
      <c r="N2" s="2" t="s">
        <v>45</v>
      </c>
      <c r="O2" s="2" t="s">
        <v>46</v>
      </c>
      <c r="P2" s="2" t="s">
        <v>47</v>
      </c>
      <c r="Q2" s="2" t="s">
        <v>48</v>
      </c>
      <c r="R2" s="2" t="s">
        <v>49</v>
      </c>
      <c r="S2" s="2" t="s">
        <v>50</v>
      </c>
      <c r="T2" s="2" t="s">
        <v>51</v>
      </c>
      <c r="U2" s="2" t="s">
        <v>52</v>
      </c>
      <c r="V2" s="2"/>
      <c r="W2" s="2" t="s">
        <v>53</v>
      </c>
      <c r="X2" s="2" t="s">
        <v>54</v>
      </c>
      <c r="Y2" s="2" t="s">
        <v>55</v>
      </c>
      <c r="Z2" s="2" t="s">
        <v>56</v>
      </c>
      <c r="AA2" s="2"/>
      <c r="AB2" s="2"/>
      <c r="AC2" s="2" t="s">
        <v>57</v>
      </c>
      <c r="AD2" s="2"/>
      <c r="AE2" s="2" t="s">
        <v>58</v>
      </c>
      <c r="AF2" s="2"/>
      <c r="AG2" s="3" t="str">
        <f aca="false">IF(A2="","",IF(COUNTA(O2:R2)&lt;4,"Needs 4 options",IF(ISERROR(FIND(UPPER(S2),"ABCD"))+(LEN(S2)&lt;&gt;1),"Answer must be A-D",IF(OR(D2&lt;1,D2&gt;3),"Difficulty must be 1-3",IF(OR(N2="",T2=""),"Missing question or explanation",IF(COUNTBLANK(U2:X2)&lt;&gt;1,"Need 3 why-not texts",IF(INDEX(U2:X2,1,FIND(UPPER(S2),"ABCD"))&lt;&gt;"","Why-not filled for the answer",IF(AND(B2&lt;&gt;"live",B2&lt;&gt;"draft",B2&lt;&gt;"retired"),"Status must be live/draft/retired","OK"))))))))</f>
        <v>OK</v>
      </c>
    </row>
    <row r="3" customFormat="false" ht="46.25" hidden="false" customHeight="false" outlineLevel="0" collapsed="false">
      <c r="A3" s="2" t="s">
        <v>59</v>
      </c>
      <c r="B3" s="2" t="s">
        <v>34</v>
      </c>
      <c r="C3" s="2" t="s">
        <v>35</v>
      </c>
      <c r="D3" s="2" t="n">
        <v>2</v>
      </c>
      <c r="E3" s="2" t="s">
        <v>60</v>
      </c>
      <c r="F3" s="2" t="s">
        <v>37</v>
      </c>
      <c r="G3" s="2" t="s">
        <v>61</v>
      </c>
      <c r="H3" s="2" t="s">
        <v>62</v>
      </c>
      <c r="I3" s="2" t="s">
        <v>63</v>
      </c>
      <c r="J3" s="2" t="s">
        <v>64</v>
      </c>
      <c r="K3" s="2" t="s">
        <v>65</v>
      </c>
      <c r="L3" s="2" t="s">
        <v>43</v>
      </c>
      <c r="M3" s="2" t="s">
        <v>66</v>
      </c>
      <c r="N3" s="2" t="s">
        <v>67</v>
      </c>
      <c r="O3" s="2" t="s">
        <v>68</v>
      </c>
      <c r="P3" s="2" t="s">
        <v>69</v>
      </c>
      <c r="Q3" s="2" t="s">
        <v>70</v>
      </c>
      <c r="R3" s="2" t="s">
        <v>71</v>
      </c>
      <c r="S3" s="2" t="s">
        <v>50</v>
      </c>
      <c r="T3" s="2" t="s">
        <v>72</v>
      </c>
      <c r="U3" s="2" t="s">
        <v>73</v>
      </c>
      <c r="V3" s="2"/>
      <c r="W3" s="2" t="s">
        <v>74</v>
      </c>
      <c r="X3" s="2" t="s">
        <v>75</v>
      </c>
      <c r="Y3" s="2" t="s">
        <v>76</v>
      </c>
      <c r="Z3" s="2" t="s">
        <v>77</v>
      </c>
      <c r="AA3" s="2"/>
      <c r="AB3" s="2"/>
      <c r="AC3" s="2" t="s">
        <v>78</v>
      </c>
      <c r="AD3" s="2"/>
      <c r="AE3" s="2" t="s">
        <v>58</v>
      </c>
      <c r="AF3" s="2"/>
      <c r="AG3" s="3" t="str">
        <f aca="false">IF(A3="","",IF(COUNTA(O3:R3)&lt;4,"Needs 4 options",IF(ISERROR(FIND(UPPER(S3),"ABCD"))+(LEN(S3)&lt;&gt;1),"Answer must be A-D",IF(OR(D3&lt;1,D3&gt;3),"Difficulty must be 1-3",IF(OR(N3="",T3=""),"Missing question or explanation",IF(COUNTBLANK(U3:X3)&lt;&gt;1,"Need 3 why-not texts",IF(INDEX(U3:X3,1,FIND(UPPER(S3),"ABCD"))&lt;&gt;"","Why-not filled for the answer",IF(AND(B3&lt;&gt;"live",B3&lt;&gt;"draft",B3&lt;&gt;"retired"),"Status must be live/draft/retired","OK"))))))))</f>
        <v>OK</v>
      </c>
    </row>
    <row r="4" customFormat="false" ht="57.45" hidden="false" customHeight="false" outlineLevel="0" collapsed="false">
      <c r="A4" s="2" t="s">
        <v>79</v>
      </c>
      <c r="B4" s="2" t="s">
        <v>34</v>
      </c>
      <c r="C4" s="2" t="s">
        <v>35</v>
      </c>
      <c r="D4" s="2" t="n">
        <v>2</v>
      </c>
      <c r="E4" s="2" t="s">
        <v>80</v>
      </c>
      <c r="F4" s="2" t="s">
        <v>37</v>
      </c>
      <c r="G4" s="2" t="s">
        <v>81</v>
      </c>
      <c r="H4" s="2" t="s">
        <v>82</v>
      </c>
      <c r="I4" s="2" t="s">
        <v>83</v>
      </c>
      <c r="J4" s="2" t="s">
        <v>43</v>
      </c>
      <c r="K4" s="2" t="s">
        <v>84</v>
      </c>
      <c r="L4" s="2" t="s">
        <v>85</v>
      </c>
      <c r="M4" s="2" t="s">
        <v>86</v>
      </c>
      <c r="N4" s="2" t="s">
        <v>87</v>
      </c>
      <c r="O4" s="2" t="s">
        <v>88</v>
      </c>
      <c r="P4" s="2" t="s">
        <v>89</v>
      </c>
      <c r="Q4" s="2" t="s">
        <v>90</v>
      </c>
      <c r="R4" s="2" t="s">
        <v>91</v>
      </c>
      <c r="S4" s="2" t="s">
        <v>50</v>
      </c>
      <c r="T4" s="2" t="s">
        <v>92</v>
      </c>
      <c r="U4" s="2" t="s">
        <v>93</v>
      </c>
      <c r="V4" s="2"/>
      <c r="W4" s="2" t="s">
        <v>94</v>
      </c>
      <c r="X4" s="2" t="s">
        <v>95</v>
      </c>
      <c r="Y4" s="2" t="s">
        <v>76</v>
      </c>
      <c r="Z4" s="2" t="s">
        <v>96</v>
      </c>
      <c r="AA4" s="2"/>
      <c r="AB4" s="2"/>
      <c r="AC4" s="2" t="s">
        <v>97</v>
      </c>
      <c r="AD4" s="2"/>
      <c r="AE4" s="2" t="s">
        <v>58</v>
      </c>
      <c r="AF4" s="2"/>
      <c r="AG4" s="3" t="str">
        <f aca="false">IF(A4="","",IF(COUNTA(O4:R4)&lt;4,"Needs 4 options",IF(ISERROR(FIND(UPPER(S4),"ABCD"))+(LEN(S4)&lt;&gt;1),"Answer must be A-D",IF(OR(D4&lt;1,D4&gt;3),"Difficulty must be 1-3",IF(OR(N4="",T4=""),"Missing question or explanation",IF(COUNTBLANK(U4:X4)&lt;&gt;1,"Need 3 why-not texts",IF(INDEX(U4:X4,1,FIND(UPPER(S4),"ABCD"))&lt;&gt;"","Why-not filled for the answer",IF(AND(B4&lt;&gt;"live",B4&lt;&gt;"draft",B4&lt;&gt;"retired"),"Status must be live/draft/retired","OK"))))))))</f>
        <v>OK</v>
      </c>
    </row>
    <row r="5" customFormat="false" ht="79.85" hidden="false" customHeight="false" outlineLevel="0" collapsed="false">
      <c r="A5" s="2" t="s">
        <v>98</v>
      </c>
      <c r="B5" s="2" t="s">
        <v>34</v>
      </c>
      <c r="C5" s="2" t="s">
        <v>35</v>
      </c>
      <c r="D5" s="2" t="n">
        <v>2</v>
      </c>
      <c r="E5" s="2" t="s">
        <v>99</v>
      </c>
      <c r="F5" s="2" t="s">
        <v>37</v>
      </c>
      <c r="G5" s="2" t="s">
        <v>100</v>
      </c>
      <c r="H5" s="2" t="s">
        <v>101</v>
      </c>
      <c r="I5" s="2" t="s">
        <v>102</v>
      </c>
      <c r="J5" s="2" t="s">
        <v>103</v>
      </c>
      <c r="K5" s="2" t="s">
        <v>104</v>
      </c>
      <c r="L5" s="2" t="s">
        <v>105</v>
      </c>
      <c r="M5" s="2" t="s">
        <v>106</v>
      </c>
      <c r="N5" s="2" t="s">
        <v>107</v>
      </c>
      <c r="O5" s="2" t="s">
        <v>84</v>
      </c>
      <c r="P5" s="2" t="s">
        <v>108</v>
      </c>
      <c r="Q5" s="2" t="s">
        <v>109</v>
      </c>
      <c r="R5" s="2" t="s">
        <v>110</v>
      </c>
      <c r="S5" s="2" t="s">
        <v>111</v>
      </c>
      <c r="T5" s="2" t="s">
        <v>112</v>
      </c>
      <c r="U5" s="2"/>
      <c r="V5" s="2" t="s">
        <v>113</v>
      </c>
      <c r="W5" s="2" t="s">
        <v>114</v>
      </c>
      <c r="X5" s="2" t="s">
        <v>115</v>
      </c>
      <c r="Y5" s="2" t="s">
        <v>116</v>
      </c>
      <c r="Z5" s="2" t="s">
        <v>117</v>
      </c>
      <c r="AA5" s="2"/>
      <c r="AB5" s="2"/>
      <c r="AC5" s="2" t="s">
        <v>118</v>
      </c>
      <c r="AD5" s="2"/>
      <c r="AE5" s="2" t="s">
        <v>58</v>
      </c>
      <c r="AF5" s="2"/>
      <c r="AG5" s="3" t="str">
        <f aca="false">IF(A5="","",IF(COUNTA(O5:R5)&lt;4,"Needs 4 options",IF(ISERROR(FIND(UPPER(S5),"ABCD"))+(LEN(S5)&lt;&gt;1),"Answer must be A-D",IF(OR(D5&lt;1,D5&gt;3),"Difficulty must be 1-3",IF(OR(N5="",T5=""),"Missing question or explanation",IF(COUNTBLANK(U5:X5)&lt;&gt;1,"Need 3 why-not texts",IF(INDEX(U5:X5,1,FIND(UPPER(S5),"ABCD"))&lt;&gt;"","Why-not filled for the answer",IF(AND(B5&lt;&gt;"live",B5&lt;&gt;"draft",B5&lt;&gt;"retired"),"Status must be live/draft/retired","OK"))))))))</f>
        <v>OK</v>
      </c>
    </row>
    <row r="6" customFormat="false" ht="91" hidden="false" customHeight="false" outlineLevel="0" collapsed="false">
      <c r="A6" s="2" t="s">
        <v>119</v>
      </c>
      <c r="B6" s="2" t="s">
        <v>34</v>
      </c>
      <c r="C6" s="2" t="s">
        <v>35</v>
      </c>
      <c r="D6" s="2" t="n">
        <v>3</v>
      </c>
      <c r="E6" s="2" t="s">
        <v>120</v>
      </c>
      <c r="F6" s="2" t="s">
        <v>37</v>
      </c>
      <c r="G6" s="2" t="s">
        <v>121</v>
      </c>
      <c r="H6" s="2" t="s">
        <v>101</v>
      </c>
      <c r="I6" s="2" t="s">
        <v>122</v>
      </c>
      <c r="J6" s="2" t="s">
        <v>103</v>
      </c>
      <c r="K6" s="2" t="s">
        <v>123</v>
      </c>
      <c r="L6" s="2" t="s">
        <v>105</v>
      </c>
      <c r="M6" s="2" t="s">
        <v>124</v>
      </c>
      <c r="N6" s="2" t="s">
        <v>107</v>
      </c>
      <c r="O6" s="2" t="s">
        <v>125</v>
      </c>
      <c r="P6" s="2" t="s">
        <v>126</v>
      </c>
      <c r="Q6" s="2" t="s">
        <v>109</v>
      </c>
      <c r="R6" s="2" t="s">
        <v>127</v>
      </c>
      <c r="S6" s="2" t="s">
        <v>50</v>
      </c>
      <c r="T6" s="2" t="s">
        <v>128</v>
      </c>
      <c r="U6" s="2" t="s">
        <v>129</v>
      </c>
      <c r="V6" s="2"/>
      <c r="W6" s="2" t="s">
        <v>130</v>
      </c>
      <c r="X6" s="2" t="s">
        <v>131</v>
      </c>
      <c r="Y6" s="2" t="s">
        <v>132</v>
      </c>
      <c r="Z6" s="2" t="s">
        <v>133</v>
      </c>
      <c r="AA6" s="2"/>
      <c r="AB6" s="2"/>
      <c r="AC6" s="2" t="s">
        <v>134</v>
      </c>
      <c r="AD6" s="2"/>
      <c r="AE6" s="2" t="s">
        <v>58</v>
      </c>
      <c r="AF6" s="2"/>
      <c r="AG6" s="3" t="str">
        <f aca="false">IF(A6="","",IF(COUNTA(O6:R6)&lt;4,"Needs 4 options",IF(ISERROR(FIND(UPPER(S6),"ABCD"))+(LEN(S6)&lt;&gt;1),"Answer must be A-D",IF(OR(D6&lt;1,D6&gt;3),"Difficulty must be 1-3",IF(OR(N6="",T6=""),"Missing question or explanation",IF(COUNTBLANK(U6:X6)&lt;&gt;1,"Need 3 why-not texts",IF(INDEX(U6:X6,1,FIND(UPPER(S6),"ABCD"))&lt;&gt;"","Why-not filled for the answer",IF(AND(B6&lt;&gt;"live",B6&lt;&gt;"draft",B6&lt;&gt;"retired"),"Status must be live/draft/retired","OK"))))))))</f>
        <v>OK</v>
      </c>
    </row>
    <row r="7" customFormat="false" ht="91" hidden="false" customHeight="false" outlineLevel="0" collapsed="false">
      <c r="A7" s="2" t="s">
        <v>135</v>
      </c>
      <c r="B7" s="2" t="s">
        <v>34</v>
      </c>
      <c r="C7" s="2" t="s">
        <v>35</v>
      </c>
      <c r="D7" s="2" t="n">
        <v>3</v>
      </c>
      <c r="E7" s="2" t="s">
        <v>136</v>
      </c>
      <c r="F7" s="2" t="s">
        <v>37</v>
      </c>
      <c r="G7" s="2" t="s">
        <v>137</v>
      </c>
      <c r="H7" s="2" t="s">
        <v>138</v>
      </c>
      <c r="I7" s="2" t="s">
        <v>139</v>
      </c>
      <c r="J7" s="2" t="s">
        <v>140</v>
      </c>
      <c r="K7" s="2" t="s">
        <v>141</v>
      </c>
      <c r="L7" s="2" t="s">
        <v>142</v>
      </c>
      <c r="M7" s="2" t="s">
        <v>143</v>
      </c>
      <c r="N7" s="2" t="s">
        <v>144</v>
      </c>
      <c r="O7" s="2" t="s">
        <v>145</v>
      </c>
      <c r="P7" s="2" t="s">
        <v>146</v>
      </c>
      <c r="Q7" s="2" t="s">
        <v>147</v>
      </c>
      <c r="R7" s="2" t="s">
        <v>148</v>
      </c>
      <c r="S7" s="2" t="s">
        <v>50</v>
      </c>
      <c r="T7" s="2" t="s">
        <v>149</v>
      </c>
      <c r="U7" s="2" t="s">
        <v>150</v>
      </c>
      <c r="V7" s="2"/>
      <c r="W7" s="2" t="s">
        <v>151</v>
      </c>
      <c r="X7" s="2" t="s">
        <v>152</v>
      </c>
      <c r="Y7" s="2" t="s">
        <v>153</v>
      </c>
      <c r="Z7" s="2" t="s">
        <v>154</v>
      </c>
      <c r="AA7" s="2"/>
      <c r="AB7" s="2"/>
      <c r="AC7" s="2" t="s">
        <v>155</v>
      </c>
      <c r="AD7" s="2"/>
      <c r="AE7" s="2" t="s">
        <v>58</v>
      </c>
      <c r="AF7" s="2"/>
      <c r="AG7" s="3" t="str">
        <f aca="false">IF(A7="","",IF(COUNTA(O7:R7)&lt;4,"Needs 4 options",IF(ISERROR(FIND(UPPER(S7),"ABCD"))+(LEN(S7)&lt;&gt;1),"Answer must be A-D",IF(OR(D7&lt;1,D7&gt;3),"Difficulty must be 1-3",IF(OR(N7="",T7=""),"Missing question or explanation",IF(COUNTBLANK(U7:X7)&lt;&gt;1,"Need 3 why-not texts",IF(INDEX(U7:X7,1,FIND(UPPER(S7),"ABCD"))&lt;&gt;"","Why-not filled for the answer",IF(AND(B7&lt;&gt;"live",B7&lt;&gt;"draft",B7&lt;&gt;"retired"),"Status must be live/draft/retired","OK"))))))))</f>
        <v>OK</v>
      </c>
    </row>
    <row r="8" customFormat="false" ht="68.65" hidden="false" customHeight="false" outlineLevel="0" collapsed="false">
      <c r="A8" s="2" t="s">
        <v>156</v>
      </c>
      <c r="B8" s="2" t="s">
        <v>34</v>
      </c>
      <c r="C8" s="2" t="s">
        <v>35</v>
      </c>
      <c r="D8" s="2" t="n">
        <v>3</v>
      </c>
      <c r="E8" s="2" t="s">
        <v>157</v>
      </c>
      <c r="F8" s="2" t="s">
        <v>158</v>
      </c>
      <c r="G8" s="2" t="s">
        <v>159</v>
      </c>
      <c r="H8" s="2" t="s">
        <v>160</v>
      </c>
      <c r="I8" s="2" t="s">
        <v>161</v>
      </c>
      <c r="J8" s="2" t="s">
        <v>162</v>
      </c>
      <c r="K8" s="2" t="s">
        <v>163</v>
      </c>
      <c r="L8" s="2" t="s">
        <v>164</v>
      </c>
      <c r="M8" s="2" t="s">
        <v>165</v>
      </c>
      <c r="N8" s="2" t="s">
        <v>166</v>
      </c>
      <c r="O8" s="2" t="s">
        <v>167</v>
      </c>
      <c r="P8" s="2" t="s">
        <v>168</v>
      </c>
      <c r="Q8" s="2" t="s">
        <v>169</v>
      </c>
      <c r="R8" s="2" t="s">
        <v>170</v>
      </c>
      <c r="S8" s="2" t="s">
        <v>50</v>
      </c>
      <c r="T8" s="2" t="s">
        <v>171</v>
      </c>
      <c r="U8" s="2" t="s">
        <v>172</v>
      </c>
      <c r="V8" s="2"/>
      <c r="W8" s="2" t="s">
        <v>173</v>
      </c>
      <c r="X8" s="2" t="s">
        <v>174</v>
      </c>
      <c r="Y8" s="2" t="s">
        <v>175</v>
      </c>
      <c r="Z8" s="2" t="s">
        <v>176</v>
      </c>
      <c r="AA8" s="2"/>
      <c r="AB8" s="2"/>
      <c r="AC8" s="2" t="s">
        <v>177</v>
      </c>
      <c r="AD8" s="2"/>
      <c r="AE8" s="2" t="s">
        <v>58</v>
      </c>
      <c r="AF8" s="2"/>
      <c r="AG8" s="3" t="str">
        <f aca="false">IF(A8="","",IF(COUNTA(O8:R8)&lt;4,"Needs 4 options",IF(ISERROR(FIND(UPPER(S8),"ABCD"))+(LEN(S8)&lt;&gt;1),"Answer must be A-D",IF(OR(D8&lt;1,D8&gt;3),"Difficulty must be 1-3",IF(OR(N8="",T8=""),"Missing question or explanation",IF(COUNTBLANK(U8:X8)&lt;&gt;1,"Need 3 why-not texts",IF(INDEX(U8:X8,1,FIND(UPPER(S8),"ABCD"))&lt;&gt;"","Why-not filled for the answer",IF(AND(B8&lt;&gt;"live",B8&lt;&gt;"draft",B8&lt;&gt;"retired"),"Status must be live/draft/retired","OK"))))))))</f>
        <v>OK</v>
      </c>
    </row>
    <row r="9" customFormat="false" ht="147" hidden="false" customHeight="false" outlineLevel="0" collapsed="false">
      <c r="A9" s="2" t="s">
        <v>178</v>
      </c>
      <c r="B9" s="2" t="s">
        <v>34</v>
      </c>
      <c r="C9" s="2" t="s">
        <v>179</v>
      </c>
      <c r="D9" s="2" t="n">
        <v>1</v>
      </c>
      <c r="E9" s="2" t="s">
        <v>180</v>
      </c>
      <c r="F9" s="2" t="s">
        <v>181</v>
      </c>
      <c r="G9" s="2" t="s">
        <v>182</v>
      </c>
      <c r="H9" s="2" t="s">
        <v>183</v>
      </c>
      <c r="I9" s="2" t="s">
        <v>184</v>
      </c>
      <c r="J9" s="2" t="s">
        <v>185</v>
      </c>
      <c r="K9" s="2" t="s">
        <v>186</v>
      </c>
      <c r="L9" s="2" t="s">
        <v>187</v>
      </c>
      <c r="M9" s="2" t="s">
        <v>188</v>
      </c>
      <c r="N9" s="2" t="s">
        <v>189</v>
      </c>
      <c r="O9" s="2" t="s">
        <v>190</v>
      </c>
      <c r="P9" s="2" t="s">
        <v>191</v>
      </c>
      <c r="Q9" s="2" t="s">
        <v>192</v>
      </c>
      <c r="R9" s="2" t="s">
        <v>193</v>
      </c>
      <c r="S9" s="2" t="s">
        <v>50</v>
      </c>
      <c r="T9" s="2" t="s">
        <v>194</v>
      </c>
      <c r="U9" s="2" t="s">
        <v>195</v>
      </c>
      <c r="V9" s="2"/>
      <c r="W9" s="2" t="s">
        <v>196</v>
      </c>
      <c r="X9" s="2" t="s">
        <v>197</v>
      </c>
      <c r="Y9" s="2" t="s">
        <v>198</v>
      </c>
      <c r="Z9" s="2" t="s">
        <v>199</v>
      </c>
      <c r="AA9" s="2"/>
      <c r="AB9" s="2"/>
      <c r="AC9" s="2" t="s">
        <v>200</v>
      </c>
      <c r="AD9" s="2"/>
      <c r="AE9" s="2" t="s">
        <v>58</v>
      </c>
      <c r="AF9" s="2"/>
      <c r="AG9" s="3" t="str">
        <f aca="false">IF(A9="","",IF(COUNTA(O9:R9)&lt;4,"Needs 4 options",IF(ISERROR(FIND(UPPER(S9),"ABCD"))+(LEN(S9)&lt;&gt;1),"Answer must be A-D",IF(OR(D9&lt;1,D9&gt;3),"Difficulty must be 1-3",IF(OR(N9="",T9=""),"Missing question or explanation",IF(COUNTBLANK(U9:X9)&lt;&gt;1,"Need 3 why-not texts",IF(INDEX(U9:X9,1,FIND(UPPER(S9),"ABCD"))&lt;&gt;"","Why-not filled for the answer",IF(AND(B9&lt;&gt;"live",B9&lt;&gt;"draft",B9&lt;&gt;"retired"),"Status must be live/draft/retired","OK"))))))))</f>
        <v>OK</v>
      </c>
    </row>
    <row r="10" customFormat="false" ht="124.6" hidden="false" customHeight="false" outlineLevel="0" collapsed="false">
      <c r="A10" s="2" t="s">
        <v>201</v>
      </c>
      <c r="B10" s="2" t="s">
        <v>34</v>
      </c>
      <c r="C10" s="2" t="s">
        <v>202</v>
      </c>
      <c r="D10" s="2" t="n">
        <v>3</v>
      </c>
      <c r="E10" s="2" t="s">
        <v>203</v>
      </c>
      <c r="F10" s="2" t="s">
        <v>181</v>
      </c>
      <c r="G10" s="2" t="s">
        <v>204</v>
      </c>
      <c r="H10" s="2" t="s">
        <v>183</v>
      </c>
      <c r="I10" s="2" t="s">
        <v>205</v>
      </c>
      <c r="J10" s="2" t="s">
        <v>185</v>
      </c>
      <c r="K10" s="2" t="s">
        <v>206</v>
      </c>
      <c r="L10" s="2" t="s">
        <v>207</v>
      </c>
      <c r="M10" s="2" t="s">
        <v>208</v>
      </c>
      <c r="N10" s="2" t="s">
        <v>209</v>
      </c>
      <c r="O10" s="2" t="s">
        <v>210</v>
      </c>
      <c r="P10" s="2" t="s">
        <v>211</v>
      </c>
      <c r="Q10" s="2" t="s">
        <v>212</v>
      </c>
      <c r="R10" s="2" t="s">
        <v>213</v>
      </c>
      <c r="S10" s="2" t="s">
        <v>50</v>
      </c>
      <c r="T10" s="2" t="s">
        <v>214</v>
      </c>
      <c r="U10" s="2" t="s">
        <v>215</v>
      </c>
      <c r="V10" s="2"/>
      <c r="W10" s="2" t="s">
        <v>216</v>
      </c>
      <c r="X10" s="2" t="s">
        <v>217</v>
      </c>
      <c r="Y10" s="2" t="s">
        <v>218</v>
      </c>
      <c r="Z10" s="2" t="s">
        <v>219</v>
      </c>
      <c r="AA10" s="2"/>
      <c r="AB10" s="2"/>
      <c r="AC10" s="2" t="s">
        <v>220</v>
      </c>
      <c r="AD10" s="2"/>
      <c r="AE10" s="2" t="s">
        <v>58</v>
      </c>
      <c r="AF10" s="2"/>
      <c r="AG10" s="3" t="str">
        <f aca="false">IF(A10="","",IF(COUNTA(O10:R10)&lt;4,"Needs 4 options",IF(ISERROR(FIND(UPPER(S10),"ABCD"))+(LEN(S10)&lt;&gt;1),"Answer must be A-D",IF(OR(D10&lt;1,D10&gt;3),"Difficulty must be 1-3",IF(OR(N10="",T10=""),"Missing question or explanation",IF(COUNTBLANK(U10:X10)&lt;&gt;1,"Need 3 why-not texts",IF(INDEX(U10:X10,1,FIND(UPPER(S10),"ABCD"))&lt;&gt;"","Why-not filled for the answer",IF(AND(B10&lt;&gt;"live",B10&lt;&gt;"draft",B10&lt;&gt;"retired"),"Status must be live/draft/retired","OK"))))))))</f>
        <v>OK</v>
      </c>
    </row>
    <row r="11" customFormat="false" ht="147" hidden="false" customHeight="false" outlineLevel="0" collapsed="false">
      <c r="A11" s="2" t="s">
        <v>221</v>
      </c>
      <c r="B11" s="2" t="s">
        <v>34</v>
      </c>
      <c r="C11" s="2" t="s">
        <v>202</v>
      </c>
      <c r="D11" s="2" t="n">
        <v>2</v>
      </c>
      <c r="E11" s="2" t="s">
        <v>222</v>
      </c>
      <c r="F11" s="2" t="s">
        <v>223</v>
      </c>
      <c r="G11" s="2" t="s">
        <v>224</v>
      </c>
      <c r="H11" s="2" t="s">
        <v>160</v>
      </c>
      <c r="I11" s="2" t="s">
        <v>225</v>
      </c>
      <c r="J11" s="2" t="s">
        <v>226</v>
      </c>
      <c r="K11" s="2" t="s">
        <v>227</v>
      </c>
      <c r="L11" s="2" t="s">
        <v>228</v>
      </c>
      <c r="M11" s="2" t="s">
        <v>229</v>
      </c>
      <c r="N11" s="2" t="s">
        <v>230</v>
      </c>
      <c r="O11" s="2" t="s">
        <v>231</v>
      </c>
      <c r="P11" s="2" t="s">
        <v>232</v>
      </c>
      <c r="Q11" s="2" t="s">
        <v>233</v>
      </c>
      <c r="R11" s="2" t="s">
        <v>234</v>
      </c>
      <c r="S11" s="2" t="s">
        <v>50</v>
      </c>
      <c r="T11" s="2" t="s">
        <v>235</v>
      </c>
      <c r="U11" s="2" t="s">
        <v>236</v>
      </c>
      <c r="V11" s="2"/>
      <c r="W11" s="2" t="s">
        <v>237</v>
      </c>
      <c r="X11" s="2" t="s">
        <v>238</v>
      </c>
      <c r="Y11" s="2" t="s">
        <v>239</v>
      </c>
      <c r="Z11" s="2" t="s">
        <v>240</v>
      </c>
      <c r="AA11" s="2"/>
      <c r="AB11" s="2"/>
      <c r="AC11" s="2" t="s">
        <v>241</v>
      </c>
      <c r="AD11" s="2"/>
      <c r="AE11" s="2" t="s">
        <v>58</v>
      </c>
      <c r="AF11" s="2"/>
      <c r="AG11" s="3" t="str">
        <f aca="false">IF(A11="","",IF(COUNTA(O11:R11)&lt;4,"Needs 4 options",IF(ISERROR(FIND(UPPER(S11),"ABCD"))+(LEN(S11)&lt;&gt;1),"Answer must be A-D",IF(OR(D11&lt;1,D11&gt;3),"Difficulty must be 1-3",IF(OR(N11="",T11=""),"Missing question or explanation",IF(COUNTBLANK(U11:X11)&lt;&gt;1,"Need 3 why-not texts",IF(INDEX(U11:X11,1,FIND(UPPER(S11),"ABCD"))&lt;&gt;"","Why-not filled for the answer",IF(AND(B11&lt;&gt;"live",B11&lt;&gt;"draft",B11&lt;&gt;"retired"),"Status must be live/draft/retired","OK"))))))))</f>
        <v>OK</v>
      </c>
    </row>
    <row r="12" customFormat="false" ht="46.25" hidden="false" customHeight="false" outlineLevel="0" collapsed="false">
      <c r="A12" s="2" t="s">
        <v>242</v>
      </c>
      <c r="B12" s="2" t="s">
        <v>34</v>
      </c>
      <c r="C12" s="2" t="s">
        <v>202</v>
      </c>
      <c r="D12" s="2" t="n">
        <v>1</v>
      </c>
      <c r="E12" s="2" t="s">
        <v>243</v>
      </c>
      <c r="F12" s="2" t="s">
        <v>223</v>
      </c>
      <c r="G12" s="2" t="s">
        <v>244</v>
      </c>
      <c r="H12" s="2" t="s">
        <v>160</v>
      </c>
      <c r="I12" s="2" t="s">
        <v>245</v>
      </c>
      <c r="J12" s="2" t="s">
        <v>246</v>
      </c>
      <c r="K12" s="2" t="s">
        <v>247</v>
      </c>
      <c r="L12" s="2" t="s">
        <v>248</v>
      </c>
      <c r="M12" s="2" t="s">
        <v>249</v>
      </c>
      <c r="N12" s="2" t="s">
        <v>250</v>
      </c>
      <c r="O12" s="2" t="s">
        <v>251</v>
      </c>
      <c r="P12" s="2" t="s">
        <v>252</v>
      </c>
      <c r="Q12" s="2" t="s">
        <v>253</v>
      </c>
      <c r="R12" s="2" t="s">
        <v>254</v>
      </c>
      <c r="S12" s="2" t="s">
        <v>50</v>
      </c>
      <c r="T12" s="2" t="s">
        <v>255</v>
      </c>
      <c r="U12" s="2" t="s">
        <v>256</v>
      </c>
      <c r="V12" s="2"/>
      <c r="W12" s="2" t="s">
        <v>257</v>
      </c>
      <c r="X12" s="2" t="s">
        <v>258</v>
      </c>
      <c r="Y12" s="2" t="s">
        <v>259</v>
      </c>
      <c r="Z12" s="2" t="s">
        <v>260</v>
      </c>
      <c r="AA12" s="2"/>
      <c r="AB12" s="2"/>
      <c r="AC12" s="2" t="s">
        <v>261</v>
      </c>
      <c r="AD12" s="2"/>
      <c r="AE12" s="2" t="s">
        <v>58</v>
      </c>
      <c r="AF12" s="2"/>
      <c r="AG12" s="3" t="str">
        <f aca="false">IF(A12="","",IF(COUNTA(O12:R12)&lt;4,"Needs 4 options",IF(ISERROR(FIND(UPPER(S12),"ABCD"))+(LEN(S12)&lt;&gt;1),"Answer must be A-D",IF(OR(D12&lt;1,D12&gt;3),"Difficulty must be 1-3",IF(OR(N12="",T12=""),"Missing question or explanation",IF(COUNTBLANK(U12:X12)&lt;&gt;1,"Need 3 why-not texts",IF(INDEX(U12:X12,1,FIND(UPPER(S12),"ABCD"))&lt;&gt;"","Why-not filled for the answer",IF(AND(B12&lt;&gt;"live",B12&lt;&gt;"draft",B12&lt;&gt;"retired"),"Status must be live/draft/retired","OK"))))))))</f>
        <v>OK</v>
      </c>
    </row>
    <row r="13" customFormat="false" ht="57.45" hidden="false" customHeight="false" outlineLevel="0" collapsed="false">
      <c r="A13" s="2" t="s">
        <v>262</v>
      </c>
      <c r="B13" s="2" t="s">
        <v>34</v>
      </c>
      <c r="C13" s="2" t="s">
        <v>35</v>
      </c>
      <c r="D13" s="2" t="n">
        <v>2</v>
      </c>
      <c r="E13" s="2" t="s">
        <v>263</v>
      </c>
      <c r="F13" s="2" t="s">
        <v>223</v>
      </c>
      <c r="G13" s="2" t="s">
        <v>264</v>
      </c>
      <c r="H13" s="2" t="s">
        <v>265</v>
      </c>
      <c r="I13" s="2" t="s">
        <v>266</v>
      </c>
      <c r="J13" s="2" t="s">
        <v>187</v>
      </c>
      <c r="K13" s="2" t="s">
        <v>267</v>
      </c>
      <c r="L13" s="2" t="s">
        <v>246</v>
      </c>
      <c r="M13" s="2" t="s">
        <v>268</v>
      </c>
      <c r="N13" s="2" t="s">
        <v>269</v>
      </c>
      <c r="O13" s="2" t="s">
        <v>270</v>
      </c>
      <c r="P13" s="2" t="s">
        <v>271</v>
      </c>
      <c r="Q13" s="2" t="s">
        <v>272</v>
      </c>
      <c r="R13" s="2" t="s">
        <v>273</v>
      </c>
      <c r="S13" s="2" t="s">
        <v>50</v>
      </c>
      <c r="T13" s="2" t="s">
        <v>274</v>
      </c>
      <c r="U13" s="2" t="s">
        <v>275</v>
      </c>
      <c r="V13" s="2"/>
      <c r="W13" s="2" t="s">
        <v>276</v>
      </c>
      <c r="X13" s="2" t="s">
        <v>277</v>
      </c>
      <c r="Y13" s="2" t="s">
        <v>278</v>
      </c>
      <c r="Z13" s="2" t="s">
        <v>279</v>
      </c>
      <c r="AA13" s="2"/>
      <c r="AB13" s="2"/>
      <c r="AC13" s="2" t="s">
        <v>280</v>
      </c>
      <c r="AD13" s="2"/>
      <c r="AE13" s="2" t="s">
        <v>58</v>
      </c>
      <c r="AF13" s="2"/>
      <c r="AG13" s="3" t="str">
        <f aca="false">IF(A13="","",IF(COUNTA(O13:R13)&lt;4,"Needs 4 options",IF(ISERROR(FIND(UPPER(S13),"ABCD"))+(LEN(S13)&lt;&gt;1),"Answer must be A-D",IF(OR(D13&lt;1,D13&gt;3),"Difficulty must be 1-3",IF(OR(N13="",T13=""),"Missing question or explanation",IF(COUNTBLANK(U13:X13)&lt;&gt;1,"Need 3 why-not texts",IF(INDEX(U13:X13,1,FIND(UPPER(S13),"ABCD"))&lt;&gt;"","Why-not filled for the answer",IF(AND(B13&lt;&gt;"live",B13&lt;&gt;"draft",B13&lt;&gt;"retired"),"Status must be live/draft/retired","OK"))))))))</f>
        <v>OK</v>
      </c>
    </row>
    <row r="14" customFormat="false" ht="46.25" hidden="false" customHeight="false" outlineLevel="0" collapsed="false">
      <c r="A14" s="2" t="s">
        <v>281</v>
      </c>
      <c r="B14" s="2" t="s">
        <v>34</v>
      </c>
      <c r="C14" s="2" t="s">
        <v>35</v>
      </c>
      <c r="D14" s="2" t="n">
        <v>2</v>
      </c>
      <c r="E14" s="2" t="s">
        <v>282</v>
      </c>
      <c r="F14" s="2" t="s">
        <v>37</v>
      </c>
      <c r="G14" s="2" t="s">
        <v>283</v>
      </c>
      <c r="H14" s="2" t="s">
        <v>284</v>
      </c>
      <c r="I14" s="2" t="s">
        <v>285</v>
      </c>
      <c r="J14" s="2" t="s">
        <v>286</v>
      </c>
      <c r="K14" s="2" t="s">
        <v>287</v>
      </c>
      <c r="L14" s="2" t="s">
        <v>288</v>
      </c>
      <c r="M14" s="2" t="s">
        <v>289</v>
      </c>
      <c r="N14" s="2" t="s">
        <v>290</v>
      </c>
      <c r="O14" s="2" t="s">
        <v>291</v>
      </c>
      <c r="P14" s="2" t="s">
        <v>292</v>
      </c>
      <c r="Q14" s="2" t="s">
        <v>293</v>
      </c>
      <c r="R14" s="2" t="s">
        <v>294</v>
      </c>
      <c r="S14" s="2" t="s">
        <v>50</v>
      </c>
      <c r="T14" s="2" t="s">
        <v>295</v>
      </c>
      <c r="U14" s="2" t="s">
        <v>296</v>
      </c>
      <c r="V14" s="2"/>
      <c r="W14" s="2" t="s">
        <v>297</v>
      </c>
      <c r="X14" s="2" t="s">
        <v>298</v>
      </c>
      <c r="Y14" s="2" t="s">
        <v>299</v>
      </c>
      <c r="Z14" s="2" t="s">
        <v>300</v>
      </c>
      <c r="AA14" s="2"/>
      <c r="AB14" s="2"/>
      <c r="AC14" s="2" t="s">
        <v>301</v>
      </c>
      <c r="AD14" s="2"/>
      <c r="AE14" s="2" t="s">
        <v>58</v>
      </c>
      <c r="AF14" s="2"/>
      <c r="AG14" s="3" t="str">
        <f aca="false">IF(A14="","",IF(COUNTA(O14:R14)&lt;4,"Needs 4 options",IF(ISERROR(FIND(UPPER(S14),"ABCD"))+(LEN(S14)&lt;&gt;1),"Answer must be A-D",IF(OR(D14&lt;1,D14&gt;3),"Difficulty must be 1-3",IF(OR(N14="",T14=""),"Missing question or explanation",IF(COUNTBLANK(U14:X14)&lt;&gt;1,"Need 3 why-not texts",IF(INDEX(U14:X14,1,FIND(UPPER(S14),"ABCD"))&lt;&gt;"","Why-not filled for the answer",IF(AND(B14&lt;&gt;"live",B14&lt;&gt;"draft",B14&lt;&gt;"retired"),"Status must be live/draft/retired","OK"))))))))</f>
        <v>OK</v>
      </c>
    </row>
    <row r="15" customFormat="false" ht="57.45" hidden="false" customHeight="false" outlineLevel="0" collapsed="false">
      <c r="A15" s="2" t="s">
        <v>302</v>
      </c>
      <c r="B15" s="2" t="s">
        <v>34</v>
      </c>
      <c r="C15" s="2" t="s">
        <v>35</v>
      </c>
      <c r="D15" s="2" t="n">
        <v>2</v>
      </c>
      <c r="E15" s="2" t="s">
        <v>303</v>
      </c>
      <c r="F15" s="2" t="s">
        <v>223</v>
      </c>
      <c r="G15" s="2" t="s">
        <v>264</v>
      </c>
      <c r="H15" s="2" t="s">
        <v>160</v>
      </c>
      <c r="I15" s="2" t="s">
        <v>304</v>
      </c>
      <c r="J15" s="2" t="s">
        <v>305</v>
      </c>
      <c r="K15" s="2" t="s">
        <v>306</v>
      </c>
      <c r="L15" s="2" t="s">
        <v>307</v>
      </c>
      <c r="M15" s="2" t="s">
        <v>308</v>
      </c>
      <c r="N15" s="2" t="s">
        <v>309</v>
      </c>
      <c r="O15" s="2" t="s">
        <v>310</v>
      </c>
      <c r="P15" s="2" t="s">
        <v>311</v>
      </c>
      <c r="Q15" s="2" t="s">
        <v>312</v>
      </c>
      <c r="R15" s="2" t="s">
        <v>313</v>
      </c>
      <c r="S15" s="2" t="s">
        <v>50</v>
      </c>
      <c r="T15" s="2" t="s">
        <v>314</v>
      </c>
      <c r="U15" s="2" t="s">
        <v>315</v>
      </c>
      <c r="V15" s="2"/>
      <c r="W15" s="2" t="s">
        <v>316</v>
      </c>
      <c r="X15" s="2" t="s">
        <v>317</v>
      </c>
      <c r="Y15" s="2" t="s">
        <v>318</v>
      </c>
      <c r="Z15" s="2" t="s">
        <v>319</v>
      </c>
      <c r="AA15" s="2"/>
      <c r="AB15" s="2"/>
      <c r="AC15" s="2" t="s">
        <v>320</v>
      </c>
      <c r="AD15" s="2"/>
      <c r="AE15" s="2" t="s">
        <v>58</v>
      </c>
      <c r="AF15" s="2"/>
      <c r="AG15" s="3" t="str">
        <f aca="false">IF(A15="","",IF(COUNTA(O15:R15)&lt;4,"Needs 4 options",IF(ISERROR(FIND(UPPER(S15),"ABCD"))+(LEN(S15)&lt;&gt;1),"Answer must be A-D",IF(OR(D15&lt;1,D15&gt;3),"Difficulty must be 1-3",IF(OR(N15="",T15=""),"Missing question or explanation",IF(COUNTBLANK(U15:X15)&lt;&gt;1,"Need 3 why-not texts",IF(INDEX(U15:X15,1,FIND(UPPER(S15),"ABCD"))&lt;&gt;"","Why-not filled for the answer",IF(AND(B15&lt;&gt;"live",B15&lt;&gt;"draft",B15&lt;&gt;"retired"),"Status must be live/draft/retired","OK"))))))))</f>
        <v>OK</v>
      </c>
    </row>
    <row r="16" customFormat="false" ht="102.2" hidden="false" customHeight="false" outlineLevel="0" collapsed="false">
      <c r="A16" s="2" t="s">
        <v>321</v>
      </c>
      <c r="B16" s="2" t="s">
        <v>34</v>
      </c>
      <c r="C16" s="2" t="s">
        <v>35</v>
      </c>
      <c r="D16" s="2" t="n">
        <v>1</v>
      </c>
      <c r="E16" s="2" t="s">
        <v>322</v>
      </c>
      <c r="F16" s="2" t="s">
        <v>223</v>
      </c>
      <c r="G16" s="2" t="s">
        <v>323</v>
      </c>
      <c r="H16" s="2" t="s">
        <v>160</v>
      </c>
      <c r="I16" s="2" t="s">
        <v>324</v>
      </c>
      <c r="J16" s="2" t="s">
        <v>248</v>
      </c>
      <c r="K16" s="2" t="s">
        <v>325</v>
      </c>
      <c r="L16" s="2" t="s">
        <v>326</v>
      </c>
      <c r="M16" s="2" t="s">
        <v>327</v>
      </c>
      <c r="N16" s="2" t="s">
        <v>328</v>
      </c>
      <c r="O16" s="2" t="s">
        <v>329</v>
      </c>
      <c r="P16" s="2" t="s">
        <v>330</v>
      </c>
      <c r="Q16" s="2" t="s">
        <v>331</v>
      </c>
      <c r="R16" s="2" t="s">
        <v>332</v>
      </c>
      <c r="S16" s="2" t="s">
        <v>50</v>
      </c>
      <c r="T16" s="2" t="s">
        <v>333</v>
      </c>
      <c r="U16" s="2" t="s">
        <v>334</v>
      </c>
      <c r="V16" s="2"/>
      <c r="W16" s="2" t="s">
        <v>335</v>
      </c>
      <c r="X16" s="2" t="s">
        <v>336</v>
      </c>
      <c r="Y16" s="2" t="s">
        <v>318</v>
      </c>
      <c r="Z16" s="2" t="s">
        <v>337</v>
      </c>
      <c r="AA16" s="2"/>
      <c r="AB16" s="2"/>
      <c r="AC16" s="2" t="s">
        <v>338</v>
      </c>
      <c r="AD16" s="2"/>
      <c r="AE16" s="2" t="s">
        <v>58</v>
      </c>
      <c r="AF16" s="2"/>
      <c r="AG16" s="3" t="str">
        <f aca="false">IF(A16="","",IF(COUNTA(O16:R16)&lt;4,"Needs 4 options",IF(ISERROR(FIND(UPPER(S16),"ABCD"))+(LEN(S16)&lt;&gt;1),"Answer must be A-D",IF(OR(D16&lt;1,D16&gt;3),"Difficulty must be 1-3",IF(OR(N16="",T16=""),"Missing question or explanation",IF(COUNTBLANK(U16:X16)&lt;&gt;1,"Need 3 why-not texts",IF(INDEX(U16:X16,1,FIND(UPPER(S16),"ABCD"))&lt;&gt;"","Why-not filled for the answer",IF(AND(B16&lt;&gt;"live",B16&lt;&gt;"draft",B16&lt;&gt;"retired"),"Status must be live/draft/retired","OK"))))))))</f>
        <v>OK</v>
      </c>
    </row>
    <row r="17" customFormat="false" ht="79.85" hidden="false" customHeight="false" outlineLevel="0" collapsed="false">
      <c r="A17" s="2" t="s">
        <v>339</v>
      </c>
      <c r="B17" s="2" t="s">
        <v>34</v>
      </c>
      <c r="C17" s="2" t="s">
        <v>35</v>
      </c>
      <c r="D17" s="2" t="n">
        <v>2</v>
      </c>
      <c r="E17" s="2" t="s">
        <v>340</v>
      </c>
      <c r="F17" s="2" t="s">
        <v>37</v>
      </c>
      <c r="G17" s="2" t="s">
        <v>341</v>
      </c>
      <c r="H17" s="2" t="s">
        <v>342</v>
      </c>
      <c r="I17" s="2" t="s">
        <v>343</v>
      </c>
      <c r="J17" s="2" t="s">
        <v>344</v>
      </c>
      <c r="K17" s="2" t="s">
        <v>345</v>
      </c>
      <c r="L17" s="2" t="s">
        <v>346</v>
      </c>
      <c r="M17" s="2" t="s">
        <v>347</v>
      </c>
      <c r="N17" s="2" t="s">
        <v>348</v>
      </c>
      <c r="O17" s="2" t="s">
        <v>349</v>
      </c>
      <c r="P17" s="2" t="s">
        <v>350</v>
      </c>
      <c r="Q17" s="2" t="s">
        <v>351</v>
      </c>
      <c r="R17" s="2" t="s">
        <v>352</v>
      </c>
      <c r="S17" s="2" t="s">
        <v>50</v>
      </c>
      <c r="T17" s="2" t="s">
        <v>353</v>
      </c>
      <c r="U17" s="2" t="s">
        <v>354</v>
      </c>
      <c r="V17" s="2"/>
      <c r="W17" s="2" t="s">
        <v>355</v>
      </c>
      <c r="X17" s="2" t="s">
        <v>356</v>
      </c>
      <c r="Y17" s="2" t="s">
        <v>357</v>
      </c>
      <c r="Z17" s="2" t="s">
        <v>358</v>
      </c>
      <c r="AA17" s="2"/>
      <c r="AB17" s="2"/>
      <c r="AC17" s="2" t="s">
        <v>359</v>
      </c>
      <c r="AD17" s="2"/>
      <c r="AE17" s="2" t="s">
        <v>58</v>
      </c>
      <c r="AF17" s="2"/>
      <c r="AG17" s="3" t="str">
        <f aca="false">IF(A17="","",IF(COUNTA(O17:R17)&lt;4,"Needs 4 options",IF(ISERROR(FIND(UPPER(S17),"ABCD"))+(LEN(S17)&lt;&gt;1),"Answer must be A-D",IF(OR(D17&lt;1,D17&gt;3),"Difficulty must be 1-3",IF(OR(N17="",T17=""),"Missing question or explanation",IF(COUNTBLANK(U17:X17)&lt;&gt;1,"Need 3 why-not texts",IF(INDEX(U17:X17,1,FIND(UPPER(S17),"ABCD"))&lt;&gt;"","Why-not filled for the answer",IF(AND(B17&lt;&gt;"live",B17&lt;&gt;"draft",B17&lt;&gt;"retired"),"Status must be live/draft/retired","OK"))))))))</f>
        <v>OK</v>
      </c>
    </row>
    <row r="18" customFormat="false" ht="23.85" hidden="false" customHeight="false" outlineLevel="0" collapsed="false">
      <c r="A18" s="2" t="s">
        <v>360</v>
      </c>
      <c r="B18" s="2" t="s">
        <v>34</v>
      </c>
      <c r="C18" s="2" t="s">
        <v>179</v>
      </c>
      <c r="D18" s="2" t="n">
        <v>1</v>
      </c>
      <c r="E18" s="2" t="s">
        <v>361</v>
      </c>
      <c r="F18" s="2" t="s">
        <v>223</v>
      </c>
      <c r="G18" s="2" t="s">
        <v>362</v>
      </c>
      <c r="H18" s="2" t="s">
        <v>363</v>
      </c>
      <c r="I18" s="2" t="s">
        <v>364</v>
      </c>
      <c r="J18" s="2" t="s">
        <v>365</v>
      </c>
      <c r="K18" s="2" t="s">
        <v>366</v>
      </c>
      <c r="L18" s="2" t="s">
        <v>367</v>
      </c>
      <c r="M18" s="2" t="s">
        <v>368</v>
      </c>
      <c r="N18" s="2" t="s">
        <v>369</v>
      </c>
      <c r="O18" s="2" t="s">
        <v>370</v>
      </c>
      <c r="P18" s="2" t="s">
        <v>371</v>
      </c>
      <c r="Q18" s="2" t="s">
        <v>372</v>
      </c>
      <c r="R18" s="2" t="s">
        <v>373</v>
      </c>
      <c r="S18" s="2" t="s">
        <v>50</v>
      </c>
      <c r="T18" s="2" t="s">
        <v>374</v>
      </c>
      <c r="U18" s="2" t="s">
        <v>375</v>
      </c>
      <c r="V18" s="2"/>
      <c r="W18" s="2" t="s">
        <v>376</v>
      </c>
      <c r="X18" s="2" t="s">
        <v>377</v>
      </c>
      <c r="Y18" s="2" t="s">
        <v>378</v>
      </c>
      <c r="Z18" s="2" t="s">
        <v>379</v>
      </c>
      <c r="AA18" s="2"/>
      <c r="AB18" s="2"/>
      <c r="AC18" s="2" t="s">
        <v>380</v>
      </c>
      <c r="AD18" s="2"/>
      <c r="AE18" s="2" t="s">
        <v>58</v>
      </c>
      <c r="AF18" s="2"/>
      <c r="AG18" s="3" t="str">
        <f aca="false">IF(A18="","",IF(COUNTA(O18:R18)&lt;4,"Needs 4 options",IF(ISERROR(FIND(UPPER(S18),"ABCD"))+(LEN(S18)&lt;&gt;1),"Answer must be A-D",IF(OR(D18&lt;1,D18&gt;3),"Difficulty must be 1-3",IF(OR(N18="",T18=""),"Missing question or explanation",IF(COUNTBLANK(U18:X18)&lt;&gt;1,"Need 3 why-not texts",IF(INDEX(U18:X18,1,FIND(UPPER(S18),"ABCD"))&lt;&gt;"","Why-not filled for the answer",IF(AND(B18&lt;&gt;"live",B18&lt;&gt;"draft",B18&lt;&gt;"retired"),"Status must be live/draft/retired","OK"))))))))</f>
        <v>OK</v>
      </c>
    </row>
    <row r="19" customFormat="false" ht="35.05" hidden="false" customHeight="false" outlineLevel="0" collapsed="false">
      <c r="A19" s="2" t="s">
        <v>381</v>
      </c>
      <c r="B19" s="2" t="s">
        <v>34</v>
      </c>
      <c r="C19" s="2" t="s">
        <v>179</v>
      </c>
      <c r="D19" s="2" t="n">
        <v>1</v>
      </c>
      <c r="E19" s="2" t="s">
        <v>382</v>
      </c>
      <c r="F19" s="2" t="s">
        <v>223</v>
      </c>
      <c r="G19" s="2" t="s">
        <v>383</v>
      </c>
      <c r="H19" s="2" t="s">
        <v>384</v>
      </c>
      <c r="I19" s="2" t="s">
        <v>385</v>
      </c>
      <c r="J19" s="2" t="s">
        <v>386</v>
      </c>
      <c r="K19" s="2" t="s">
        <v>387</v>
      </c>
      <c r="L19" s="2" t="s">
        <v>388</v>
      </c>
      <c r="M19" s="2" t="s">
        <v>389</v>
      </c>
      <c r="N19" s="2" t="s">
        <v>390</v>
      </c>
      <c r="O19" s="2" t="s">
        <v>391</v>
      </c>
      <c r="P19" s="2" t="s">
        <v>392</v>
      </c>
      <c r="Q19" s="2" t="s">
        <v>393</v>
      </c>
      <c r="R19" s="2" t="s">
        <v>394</v>
      </c>
      <c r="S19" s="2" t="s">
        <v>50</v>
      </c>
      <c r="T19" s="2" t="s">
        <v>395</v>
      </c>
      <c r="U19" s="2" t="s">
        <v>396</v>
      </c>
      <c r="V19" s="2"/>
      <c r="W19" s="2" t="s">
        <v>397</v>
      </c>
      <c r="X19" s="2" t="s">
        <v>398</v>
      </c>
      <c r="Y19" s="2" t="s">
        <v>399</v>
      </c>
      <c r="Z19" s="2" t="s">
        <v>400</v>
      </c>
      <c r="AA19" s="2"/>
      <c r="AB19" s="2"/>
      <c r="AC19" s="2" t="s">
        <v>401</v>
      </c>
      <c r="AD19" s="2"/>
      <c r="AE19" s="2" t="s">
        <v>58</v>
      </c>
      <c r="AF19" s="2"/>
      <c r="AG19" s="3" t="str">
        <f aca="false">IF(A19="","",IF(COUNTA(O19:R19)&lt;4,"Needs 4 options",IF(ISERROR(FIND(UPPER(S19),"ABCD"))+(LEN(S19)&lt;&gt;1),"Answer must be A-D",IF(OR(D19&lt;1,D19&gt;3),"Difficulty must be 1-3",IF(OR(N19="",T19=""),"Missing question or explanation",IF(COUNTBLANK(U19:X19)&lt;&gt;1,"Need 3 why-not texts",IF(INDEX(U19:X19,1,FIND(UPPER(S19),"ABCD"))&lt;&gt;"","Why-not filled for the answer",IF(AND(B19&lt;&gt;"live",B19&lt;&gt;"draft",B19&lt;&gt;"retired"),"Status must be live/draft/retired","OK"))))))))</f>
        <v>OK</v>
      </c>
    </row>
    <row r="20" customFormat="false" ht="46.25" hidden="false" customHeight="false" outlineLevel="0" collapsed="false">
      <c r="A20" s="2" t="s">
        <v>402</v>
      </c>
      <c r="B20" s="2" t="s">
        <v>34</v>
      </c>
      <c r="C20" s="2" t="s">
        <v>35</v>
      </c>
      <c r="D20" s="2" t="n">
        <v>2</v>
      </c>
      <c r="E20" s="2" t="s">
        <v>403</v>
      </c>
      <c r="F20" s="2" t="s">
        <v>223</v>
      </c>
      <c r="G20" s="2" t="s">
        <v>404</v>
      </c>
      <c r="H20" s="2" t="s">
        <v>248</v>
      </c>
      <c r="I20" s="2" t="s">
        <v>405</v>
      </c>
      <c r="J20" s="2" t="s">
        <v>406</v>
      </c>
      <c r="K20" s="2" t="s">
        <v>407</v>
      </c>
      <c r="L20" s="2" t="s">
        <v>246</v>
      </c>
      <c r="M20" s="2" t="s">
        <v>408</v>
      </c>
      <c r="N20" s="2" t="s">
        <v>409</v>
      </c>
      <c r="O20" s="2" t="s">
        <v>410</v>
      </c>
      <c r="P20" s="2" t="s">
        <v>411</v>
      </c>
      <c r="Q20" s="2" t="s">
        <v>412</v>
      </c>
      <c r="R20" s="2" t="s">
        <v>413</v>
      </c>
      <c r="S20" s="2" t="s">
        <v>50</v>
      </c>
      <c r="T20" s="2" t="s">
        <v>414</v>
      </c>
      <c r="U20" s="2" t="s">
        <v>415</v>
      </c>
      <c r="V20" s="2"/>
      <c r="W20" s="2" t="s">
        <v>416</v>
      </c>
      <c r="X20" s="2" t="s">
        <v>417</v>
      </c>
      <c r="Y20" s="2" t="s">
        <v>418</v>
      </c>
      <c r="Z20" s="2" t="s">
        <v>419</v>
      </c>
      <c r="AA20" s="2"/>
      <c r="AB20" s="2"/>
      <c r="AC20" s="2" t="s">
        <v>420</v>
      </c>
      <c r="AD20" s="2"/>
      <c r="AE20" s="2" t="s">
        <v>58</v>
      </c>
      <c r="AF20" s="2"/>
      <c r="AG20" s="3" t="str">
        <f aca="false">IF(A20="","",IF(COUNTA(O20:R20)&lt;4,"Needs 4 options",IF(ISERROR(FIND(UPPER(S20),"ABCD"))+(LEN(S20)&lt;&gt;1),"Answer must be A-D",IF(OR(D20&lt;1,D20&gt;3),"Difficulty must be 1-3",IF(OR(N20="",T20=""),"Missing question or explanation",IF(COUNTBLANK(U20:X20)&lt;&gt;1,"Need 3 why-not texts",IF(INDEX(U20:X20,1,FIND(UPPER(S20),"ABCD"))&lt;&gt;"","Why-not filled for the answer",IF(AND(B20&lt;&gt;"live",B20&lt;&gt;"draft",B20&lt;&gt;"retired"),"Status must be live/draft/retired","OK"))))))))</f>
        <v>OK</v>
      </c>
    </row>
    <row r="21" customFormat="false" ht="35.05" hidden="false" customHeight="false" outlineLevel="0" collapsed="false">
      <c r="A21" s="2" t="s">
        <v>421</v>
      </c>
      <c r="B21" s="2" t="s">
        <v>34</v>
      </c>
      <c r="C21" s="2" t="s">
        <v>179</v>
      </c>
      <c r="D21" s="2" t="n">
        <v>1</v>
      </c>
      <c r="E21" s="2" t="s">
        <v>422</v>
      </c>
      <c r="F21" s="2" t="s">
        <v>223</v>
      </c>
      <c r="G21" s="2" t="s">
        <v>423</v>
      </c>
      <c r="H21" s="2" t="s">
        <v>424</v>
      </c>
      <c r="I21" s="2" t="s">
        <v>425</v>
      </c>
      <c r="J21" s="2" t="s">
        <v>426</v>
      </c>
      <c r="K21" s="2" t="s">
        <v>427</v>
      </c>
      <c r="L21" s="2" t="s">
        <v>246</v>
      </c>
      <c r="M21" s="2" t="s">
        <v>428</v>
      </c>
      <c r="N21" s="2" t="s">
        <v>429</v>
      </c>
      <c r="O21" s="2" t="s">
        <v>430</v>
      </c>
      <c r="P21" s="2" t="s">
        <v>431</v>
      </c>
      <c r="Q21" s="2" t="s">
        <v>432</v>
      </c>
      <c r="R21" s="2" t="s">
        <v>433</v>
      </c>
      <c r="S21" s="2" t="s">
        <v>50</v>
      </c>
      <c r="T21" s="2" t="s">
        <v>434</v>
      </c>
      <c r="U21" s="2" t="s">
        <v>435</v>
      </c>
      <c r="V21" s="2"/>
      <c r="W21" s="2" t="s">
        <v>436</v>
      </c>
      <c r="X21" s="2" t="s">
        <v>437</v>
      </c>
      <c r="Y21" s="2" t="s">
        <v>438</v>
      </c>
      <c r="Z21" s="2" t="s">
        <v>439</v>
      </c>
      <c r="AA21" s="2"/>
      <c r="AB21" s="2"/>
      <c r="AC21" s="2" t="s">
        <v>440</v>
      </c>
      <c r="AD21" s="2"/>
      <c r="AE21" s="2" t="s">
        <v>58</v>
      </c>
      <c r="AF21" s="2"/>
      <c r="AG21" s="3" t="str">
        <f aca="false">IF(A21="","",IF(COUNTA(O21:R21)&lt;4,"Needs 4 options",IF(ISERROR(FIND(UPPER(S21),"ABCD"))+(LEN(S21)&lt;&gt;1),"Answer must be A-D",IF(OR(D21&lt;1,D21&gt;3),"Difficulty must be 1-3",IF(OR(N21="",T21=""),"Missing question or explanation",IF(COUNTBLANK(U21:X21)&lt;&gt;1,"Need 3 why-not texts",IF(INDEX(U21:X21,1,FIND(UPPER(S21),"ABCD"))&lt;&gt;"","Why-not filled for the answer",IF(AND(B21&lt;&gt;"live",B21&lt;&gt;"draft",B21&lt;&gt;"retired"),"Status must be live/draft/retired","OK"))))))))</f>
        <v>OK</v>
      </c>
    </row>
    <row r="22" customFormat="false" ht="102.2" hidden="false" customHeight="false" outlineLevel="0" collapsed="false">
      <c r="A22" s="2" t="s">
        <v>441</v>
      </c>
      <c r="B22" s="2" t="s">
        <v>34</v>
      </c>
      <c r="C22" s="2" t="s">
        <v>442</v>
      </c>
      <c r="D22" s="2" t="n">
        <v>1</v>
      </c>
      <c r="E22" s="2" t="s">
        <v>443</v>
      </c>
      <c r="F22" s="2" t="s">
        <v>37</v>
      </c>
      <c r="G22" s="2" t="s">
        <v>444</v>
      </c>
      <c r="H22" s="2" t="s">
        <v>445</v>
      </c>
      <c r="I22" s="2" t="s">
        <v>446</v>
      </c>
      <c r="J22" s="2" t="s">
        <v>447</v>
      </c>
      <c r="K22" s="2" t="s">
        <v>448</v>
      </c>
      <c r="L22" s="2" t="s">
        <v>103</v>
      </c>
      <c r="M22" s="2" t="s">
        <v>449</v>
      </c>
      <c r="N22" s="2" t="s">
        <v>450</v>
      </c>
      <c r="O22" s="2" t="s">
        <v>451</v>
      </c>
      <c r="P22" s="2" t="s">
        <v>452</v>
      </c>
      <c r="Q22" s="2" t="s">
        <v>453</v>
      </c>
      <c r="R22" s="2" t="s">
        <v>454</v>
      </c>
      <c r="S22" s="2" t="s">
        <v>111</v>
      </c>
      <c r="T22" s="2" t="s">
        <v>455</v>
      </c>
      <c r="U22" s="2"/>
      <c r="V22" s="2" t="s">
        <v>456</v>
      </c>
      <c r="W22" s="2" t="s">
        <v>457</v>
      </c>
      <c r="X22" s="2" t="s">
        <v>458</v>
      </c>
      <c r="Y22" s="2" t="s">
        <v>459</v>
      </c>
      <c r="Z22" s="2" t="s">
        <v>460</v>
      </c>
      <c r="AA22" s="2" t="s">
        <v>461</v>
      </c>
      <c r="AB22" s="2" t="s">
        <v>462</v>
      </c>
      <c r="AC22" s="2" t="s">
        <v>463</v>
      </c>
      <c r="AD22" s="2"/>
      <c r="AE22" s="2" t="s">
        <v>58</v>
      </c>
      <c r="AF22" s="2"/>
      <c r="AG22" s="3" t="str">
        <f aca="false">IF(A22="","",IF(COUNTA(O22:R22)&lt;4,"Needs 4 options",IF(ISERROR(FIND(UPPER(S22),"ABCD"))+(LEN(S22)&lt;&gt;1),"Answer must be A-D",IF(OR(D22&lt;1,D22&gt;3),"Difficulty must be 1-3",IF(OR(N22="",T22=""),"Missing question or explanation",IF(COUNTBLANK(U22:X22)&lt;&gt;1,"Need 3 why-not texts",IF(INDEX(U22:X22,1,FIND(UPPER(S22),"ABCD"))&lt;&gt;"","Why-not filled for the answer",IF(AND(B22&lt;&gt;"live",B22&lt;&gt;"draft",B22&lt;&gt;"retired"),"Status must be live/draft/retired","OK"))))))))</f>
        <v>OK</v>
      </c>
    </row>
    <row r="23" customFormat="false" ht="46.25" hidden="false" customHeight="false" outlineLevel="0" collapsed="false">
      <c r="A23" s="2" t="s">
        <v>464</v>
      </c>
      <c r="B23" s="2" t="s">
        <v>34</v>
      </c>
      <c r="C23" s="2" t="s">
        <v>442</v>
      </c>
      <c r="D23" s="2" t="n">
        <v>2</v>
      </c>
      <c r="E23" s="2" t="s">
        <v>465</v>
      </c>
      <c r="F23" s="2" t="s">
        <v>37</v>
      </c>
      <c r="G23" s="2" t="s">
        <v>466</v>
      </c>
      <c r="H23" s="2" t="s">
        <v>467</v>
      </c>
      <c r="I23" s="2" t="s">
        <v>468</v>
      </c>
      <c r="J23" s="2" t="s">
        <v>447</v>
      </c>
      <c r="K23" s="2" t="s">
        <v>469</v>
      </c>
      <c r="L23" s="2" t="s">
        <v>470</v>
      </c>
      <c r="M23" s="2" t="s">
        <v>471</v>
      </c>
      <c r="N23" s="2" t="s">
        <v>472</v>
      </c>
      <c r="O23" s="2" t="s">
        <v>473</v>
      </c>
      <c r="P23" s="2" t="s">
        <v>474</v>
      </c>
      <c r="Q23" s="2" t="s">
        <v>475</v>
      </c>
      <c r="R23" s="2" t="s">
        <v>476</v>
      </c>
      <c r="S23" s="2" t="s">
        <v>50</v>
      </c>
      <c r="T23" s="2" t="s">
        <v>477</v>
      </c>
      <c r="U23" s="2" t="s">
        <v>478</v>
      </c>
      <c r="V23" s="2"/>
      <c r="W23" s="2" t="s">
        <v>479</v>
      </c>
      <c r="X23" s="2" t="s">
        <v>480</v>
      </c>
      <c r="Y23" s="2" t="s">
        <v>481</v>
      </c>
      <c r="Z23" s="2" t="s">
        <v>482</v>
      </c>
      <c r="AA23" s="2"/>
      <c r="AB23" s="2"/>
      <c r="AC23" s="2" t="s">
        <v>483</v>
      </c>
      <c r="AD23" s="2"/>
      <c r="AE23" s="2" t="s">
        <v>58</v>
      </c>
      <c r="AF23" s="2"/>
      <c r="AG23" s="3" t="str">
        <f aca="false">IF(A23="","",IF(COUNTA(O23:R23)&lt;4,"Needs 4 options",IF(ISERROR(FIND(UPPER(S23),"ABCD"))+(LEN(S23)&lt;&gt;1),"Answer must be A-D",IF(OR(D23&lt;1,D23&gt;3),"Difficulty must be 1-3",IF(OR(N23="",T23=""),"Missing question or explanation",IF(COUNTBLANK(U23:X23)&lt;&gt;1,"Need 3 why-not texts",IF(INDEX(U23:X23,1,FIND(UPPER(S23),"ABCD"))&lt;&gt;"","Why-not filled for the answer",IF(AND(B23&lt;&gt;"live",B23&lt;&gt;"draft",B23&lt;&gt;"retired"),"Status must be live/draft/retired","OK"))))))))</f>
        <v>OK</v>
      </c>
    </row>
    <row r="24" customFormat="false" ht="35.05" hidden="false" customHeight="false" outlineLevel="0" collapsed="false">
      <c r="A24" s="2" t="s">
        <v>484</v>
      </c>
      <c r="B24" s="2" t="s">
        <v>34</v>
      </c>
      <c r="C24" s="2" t="s">
        <v>442</v>
      </c>
      <c r="D24" s="2" t="n">
        <v>2</v>
      </c>
      <c r="E24" s="2" t="s">
        <v>485</v>
      </c>
      <c r="F24" s="2" t="s">
        <v>37</v>
      </c>
      <c r="G24" s="2" t="s">
        <v>486</v>
      </c>
      <c r="H24" s="2" t="s">
        <v>487</v>
      </c>
      <c r="I24" s="2" t="s">
        <v>488</v>
      </c>
      <c r="J24" s="2" t="s">
        <v>39</v>
      </c>
      <c r="K24" s="2" t="s">
        <v>489</v>
      </c>
      <c r="L24" s="2" t="s">
        <v>43</v>
      </c>
      <c r="M24" s="2" t="s">
        <v>490</v>
      </c>
      <c r="N24" s="2" t="s">
        <v>491</v>
      </c>
      <c r="O24" s="2" t="s">
        <v>492</v>
      </c>
      <c r="P24" s="2" t="s">
        <v>493</v>
      </c>
      <c r="Q24" s="2" t="s">
        <v>494</v>
      </c>
      <c r="R24" s="2" t="s">
        <v>495</v>
      </c>
      <c r="S24" s="2" t="s">
        <v>50</v>
      </c>
      <c r="T24" s="2" t="s">
        <v>496</v>
      </c>
      <c r="U24" s="2" t="s">
        <v>497</v>
      </c>
      <c r="V24" s="2"/>
      <c r="W24" s="2" t="s">
        <v>498</v>
      </c>
      <c r="X24" s="2" t="s">
        <v>499</v>
      </c>
      <c r="Y24" s="2" t="s">
        <v>500</v>
      </c>
      <c r="Z24" s="2" t="s">
        <v>501</v>
      </c>
      <c r="AA24" s="2"/>
      <c r="AB24" s="2"/>
      <c r="AC24" s="2" t="s">
        <v>502</v>
      </c>
      <c r="AD24" s="2"/>
      <c r="AE24" s="2" t="s">
        <v>58</v>
      </c>
      <c r="AF24" s="2"/>
      <c r="AG24" s="3" t="str">
        <f aca="false">IF(A24="","",IF(COUNTA(O24:R24)&lt;4,"Needs 4 options",IF(ISERROR(FIND(UPPER(S24),"ABCD"))+(LEN(S24)&lt;&gt;1),"Answer must be A-D",IF(OR(D24&lt;1,D24&gt;3),"Difficulty must be 1-3",IF(OR(N24="",T24=""),"Missing question or explanation",IF(COUNTBLANK(U24:X24)&lt;&gt;1,"Need 3 why-not texts",IF(INDEX(U24:X24,1,FIND(UPPER(S24),"ABCD"))&lt;&gt;"","Why-not filled for the answer",IF(AND(B24&lt;&gt;"live",B24&lt;&gt;"draft",B24&lt;&gt;"retired"),"Status must be live/draft/retired","OK"))))))))</f>
        <v>OK</v>
      </c>
    </row>
    <row r="25" customFormat="false" ht="79.85" hidden="false" customHeight="false" outlineLevel="0" collapsed="false">
      <c r="A25" s="2" t="s">
        <v>503</v>
      </c>
      <c r="B25" s="2" t="s">
        <v>34</v>
      </c>
      <c r="C25" s="2" t="s">
        <v>442</v>
      </c>
      <c r="D25" s="2" t="n">
        <v>3</v>
      </c>
      <c r="E25" s="2" t="s">
        <v>504</v>
      </c>
      <c r="F25" s="2" t="s">
        <v>37</v>
      </c>
      <c r="G25" s="2" t="s">
        <v>505</v>
      </c>
      <c r="H25" s="2" t="s">
        <v>506</v>
      </c>
      <c r="I25" s="2" t="s">
        <v>507</v>
      </c>
      <c r="J25" s="2" t="s">
        <v>103</v>
      </c>
      <c r="K25" s="2" t="s">
        <v>508</v>
      </c>
      <c r="L25" s="2" t="s">
        <v>509</v>
      </c>
      <c r="M25" s="2" t="s">
        <v>510</v>
      </c>
      <c r="N25" s="2" t="s">
        <v>511</v>
      </c>
      <c r="O25" s="2" t="s">
        <v>512</v>
      </c>
      <c r="P25" s="2" t="s">
        <v>513</v>
      </c>
      <c r="Q25" s="2" t="s">
        <v>514</v>
      </c>
      <c r="R25" s="2" t="s">
        <v>515</v>
      </c>
      <c r="S25" s="2" t="s">
        <v>50</v>
      </c>
      <c r="T25" s="2" t="s">
        <v>516</v>
      </c>
      <c r="U25" s="2" t="s">
        <v>517</v>
      </c>
      <c r="V25" s="2"/>
      <c r="W25" s="2" t="s">
        <v>518</v>
      </c>
      <c r="X25" s="2" t="s">
        <v>519</v>
      </c>
      <c r="Y25" s="2" t="s">
        <v>520</v>
      </c>
      <c r="Z25" s="2" t="s">
        <v>521</v>
      </c>
      <c r="AA25" s="2"/>
      <c r="AB25" s="2"/>
      <c r="AC25" s="2" t="s">
        <v>522</v>
      </c>
      <c r="AD25" s="2"/>
      <c r="AE25" s="2" t="s">
        <v>58</v>
      </c>
      <c r="AF25" s="2"/>
      <c r="AG25" s="3" t="str">
        <f aca="false">IF(A25="","",IF(COUNTA(O25:R25)&lt;4,"Needs 4 options",IF(ISERROR(FIND(UPPER(S25),"ABCD"))+(LEN(S25)&lt;&gt;1),"Answer must be A-D",IF(OR(D25&lt;1,D25&gt;3),"Difficulty must be 1-3",IF(OR(N25="",T25=""),"Missing question or explanation",IF(COUNTBLANK(U25:X25)&lt;&gt;1,"Need 3 why-not texts",IF(INDEX(U25:X25,1,FIND(UPPER(S25),"ABCD"))&lt;&gt;"","Why-not filled for the answer",IF(AND(B25&lt;&gt;"live",B25&lt;&gt;"draft",B25&lt;&gt;"retired"),"Status must be live/draft/retired","OK"))))))))</f>
        <v>OK</v>
      </c>
    </row>
    <row r="26" customFormat="false" ht="46.25" hidden="false" customHeight="false" outlineLevel="0" collapsed="false">
      <c r="A26" s="2" t="s">
        <v>523</v>
      </c>
      <c r="B26" s="2" t="s">
        <v>34</v>
      </c>
      <c r="C26" s="2" t="s">
        <v>442</v>
      </c>
      <c r="D26" s="2" t="n">
        <v>2</v>
      </c>
      <c r="E26" s="2" t="s">
        <v>524</v>
      </c>
      <c r="F26" s="2" t="s">
        <v>223</v>
      </c>
      <c r="G26" s="2" t="s">
        <v>525</v>
      </c>
      <c r="H26" s="2" t="s">
        <v>526</v>
      </c>
      <c r="I26" s="2" t="s">
        <v>527</v>
      </c>
      <c r="J26" s="2" t="s">
        <v>246</v>
      </c>
      <c r="K26" s="2" t="s">
        <v>528</v>
      </c>
      <c r="L26" s="2" t="s">
        <v>529</v>
      </c>
      <c r="M26" s="2" t="s">
        <v>65</v>
      </c>
      <c r="N26" s="2" t="s">
        <v>530</v>
      </c>
      <c r="O26" s="2" t="s">
        <v>531</v>
      </c>
      <c r="P26" s="2" t="s">
        <v>532</v>
      </c>
      <c r="Q26" s="2" t="s">
        <v>533</v>
      </c>
      <c r="R26" s="2" t="s">
        <v>534</v>
      </c>
      <c r="S26" s="2" t="s">
        <v>50</v>
      </c>
      <c r="T26" s="2" t="s">
        <v>535</v>
      </c>
      <c r="U26" s="2" t="s">
        <v>536</v>
      </c>
      <c r="V26" s="2"/>
      <c r="W26" s="2" t="s">
        <v>537</v>
      </c>
      <c r="X26" s="2" t="s">
        <v>538</v>
      </c>
      <c r="Y26" s="2" t="s">
        <v>539</v>
      </c>
      <c r="Z26" s="2" t="s">
        <v>540</v>
      </c>
      <c r="AA26" s="2"/>
      <c r="AB26" s="2"/>
      <c r="AC26" s="2" t="s">
        <v>541</v>
      </c>
      <c r="AD26" s="2"/>
      <c r="AE26" s="2" t="s">
        <v>58</v>
      </c>
      <c r="AF26" s="2"/>
      <c r="AG26" s="3" t="str">
        <f aca="false">IF(A26="","",IF(COUNTA(O26:R26)&lt;4,"Needs 4 options",IF(ISERROR(FIND(UPPER(S26),"ABCD"))+(LEN(S26)&lt;&gt;1),"Answer must be A-D",IF(OR(D26&lt;1,D26&gt;3),"Difficulty must be 1-3",IF(OR(N26="",T26=""),"Missing question or explanation",IF(COUNTBLANK(U26:X26)&lt;&gt;1,"Need 3 why-not texts",IF(INDEX(U26:X26,1,FIND(UPPER(S26),"ABCD"))&lt;&gt;"","Why-not filled for the answer",IF(AND(B26&lt;&gt;"live",B26&lt;&gt;"draft",B26&lt;&gt;"retired"),"Status must be live/draft/retired","OK"))))))))</f>
        <v>OK</v>
      </c>
    </row>
    <row r="27" customFormat="false" ht="46.25" hidden="false" customHeight="false" outlineLevel="0" collapsed="false">
      <c r="A27" s="2" t="s">
        <v>542</v>
      </c>
      <c r="B27" s="2" t="s">
        <v>34</v>
      </c>
      <c r="C27" s="2" t="s">
        <v>442</v>
      </c>
      <c r="D27" s="2" t="n">
        <v>3</v>
      </c>
      <c r="E27" s="2" t="s">
        <v>543</v>
      </c>
      <c r="F27" s="2" t="s">
        <v>37</v>
      </c>
      <c r="G27" s="2" t="s">
        <v>544</v>
      </c>
      <c r="H27" s="2" t="s">
        <v>545</v>
      </c>
      <c r="I27" s="2" t="s">
        <v>546</v>
      </c>
      <c r="J27" s="2" t="s">
        <v>547</v>
      </c>
      <c r="K27" s="2" t="s">
        <v>548</v>
      </c>
      <c r="L27" s="2" t="s">
        <v>549</v>
      </c>
      <c r="M27" s="2" t="s">
        <v>550</v>
      </c>
      <c r="N27" s="2" t="s">
        <v>551</v>
      </c>
      <c r="O27" s="2" t="s">
        <v>552</v>
      </c>
      <c r="P27" s="2" t="s">
        <v>553</v>
      </c>
      <c r="Q27" s="2" t="s">
        <v>554</v>
      </c>
      <c r="R27" s="2" t="s">
        <v>555</v>
      </c>
      <c r="S27" s="2" t="s">
        <v>50</v>
      </c>
      <c r="T27" s="2" t="s">
        <v>556</v>
      </c>
      <c r="U27" s="2" t="s">
        <v>557</v>
      </c>
      <c r="V27" s="2"/>
      <c r="W27" s="2" t="s">
        <v>558</v>
      </c>
      <c r="X27" s="2" t="s">
        <v>559</v>
      </c>
      <c r="Y27" s="2" t="s">
        <v>560</v>
      </c>
      <c r="Z27" s="2" t="s">
        <v>561</v>
      </c>
      <c r="AA27" s="2"/>
      <c r="AB27" s="2"/>
      <c r="AC27" s="2" t="s">
        <v>562</v>
      </c>
      <c r="AD27" s="2"/>
      <c r="AE27" s="2" t="s">
        <v>58</v>
      </c>
      <c r="AF27" s="2"/>
      <c r="AG27" s="3" t="str">
        <f aca="false">IF(A27="","",IF(COUNTA(O27:R27)&lt;4,"Needs 4 options",IF(ISERROR(FIND(UPPER(S27),"ABCD"))+(LEN(S27)&lt;&gt;1),"Answer must be A-D",IF(OR(D27&lt;1,D27&gt;3),"Difficulty must be 1-3",IF(OR(N27="",T27=""),"Missing question or explanation",IF(COUNTBLANK(U27:X27)&lt;&gt;1,"Need 3 why-not texts",IF(INDEX(U27:X27,1,FIND(UPPER(S27),"ABCD"))&lt;&gt;"","Why-not filled for the answer",IF(AND(B27&lt;&gt;"live",B27&lt;&gt;"draft",B27&lt;&gt;"retired"),"Status must be live/draft/retired","OK"))))))))</f>
        <v>OK</v>
      </c>
    </row>
    <row r="28" customFormat="false" ht="35.05" hidden="false" customHeight="false" outlineLevel="0" collapsed="false">
      <c r="A28" s="2" t="s">
        <v>563</v>
      </c>
      <c r="B28" s="2" t="s">
        <v>34</v>
      </c>
      <c r="C28" s="2" t="s">
        <v>442</v>
      </c>
      <c r="D28" s="2" t="n">
        <v>1</v>
      </c>
      <c r="E28" s="2" t="s">
        <v>564</v>
      </c>
      <c r="F28" s="2" t="s">
        <v>223</v>
      </c>
      <c r="G28" s="2" t="s">
        <v>565</v>
      </c>
      <c r="H28" s="2" t="s">
        <v>566</v>
      </c>
      <c r="I28" s="2" t="s">
        <v>567</v>
      </c>
      <c r="J28" s="2" t="s">
        <v>568</v>
      </c>
      <c r="K28" s="2" t="s">
        <v>569</v>
      </c>
      <c r="L28" s="2" t="s">
        <v>570</v>
      </c>
      <c r="M28" s="2" t="s">
        <v>571</v>
      </c>
      <c r="N28" s="2" t="s">
        <v>572</v>
      </c>
      <c r="O28" s="2" t="s">
        <v>573</v>
      </c>
      <c r="P28" s="2" t="s">
        <v>574</v>
      </c>
      <c r="Q28" s="2" t="s">
        <v>575</v>
      </c>
      <c r="R28" s="2" t="s">
        <v>576</v>
      </c>
      <c r="S28" s="2" t="s">
        <v>50</v>
      </c>
      <c r="T28" s="2" t="s">
        <v>577</v>
      </c>
      <c r="U28" s="2" t="s">
        <v>578</v>
      </c>
      <c r="V28" s="2"/>
      <c r="W28" s="2" t="s">
        <v>579</v>
      </c>
      <c r="X28" s="2" t="s">
        <v>580</v>
      </c>
      <c r="Y28" s="2" t="s">
        <v>581</v>
      </c>
      <c r="Z28" s="2" t="s">
        <v>582</v>
      </c>
      <c r="AA28" s="2"/>
      <c r="AB28" s="2"/>
      <c r="AC28" s="2" t="s">
        <v>583</v>
      </c>
      <c r="AD28" s="2"/>
      <c r="AE28" s="2" t="s">
        <v>58</v>
      </c>
      <c r="AF28" s="2"/>
      <c r="AG28" s="3" t="str">
        <f aca="false">IF(A28="","",IF(COUNTA(O28:R28)&lt;4,"Needs 4 options",IF(ISERROR(FIND(UPPER(S28),"ABCD"))+(LEN(S28)&lt;&gt;1),"Answer must be A-D",IF(OR(D28&lt;1,D28&gt;3),"Difficulty must be 1-3",IF(OR(N28="",T28=""),"Missing question or explanation",IF(COUNTBLANK(U28:X28)&lt;&gt;1,"Need 3 why-not texts",IF(INDEX(U28:X28,1,FIND(UPPER(S28),"ABCD"))&lt;&gt;"","Why-not filled for the answer",IF(AND(B28&lt;&gt;"live",B28&lt;&gt;"draft",B28&lt;&gt;"retired"),"Status must be live/draft/retired","OK"))))))))</f>
        <v>OK</v>
      </c>
    </row>
    <row r="29" customFormat="false" ht="46.25" hidden="false" customHeight="false" outlineLevel="0" collapsed="false">
      <c r="A29" s="2" t="s">
        <v>584</v>
      </c>
      <c r="B29" s="2" t="s">
        <v>34</v>
      </c>
      <c r="C29" s="2" t="s">
        <v>442</v>
      </c>
      <c r="D29" s="2" t="n">
        <v>3</v>
      </c>
      <c r="E29" s="2" t="s">
        <v>585</v>
      </c>
      <c r="F29" s="2" t="s">
        <v>223</v>
      </c>
      <c r="G29" s="2" t="s">
        <v>586</v>
      </c>
      <c r="H29" s="2" t="s">
        <v>138</v>
      </c>
      <c r="I29" s="2" t="s">
        <v>587</v>
      </c>
      <c r="J29" s="2" t="s">
        <v>588</v>
      </c>
      <c r="K29" s="2" t="s">
        <v>589</v>
      </c>
      <c r="L29" s="2" t="s">
        <v>590</v>
      </c>
      <c r="M29" s="2" t="s">
        <v>591</v>
      </c>
      <c r="N29" s="2" t="s">
        <v>592</v>
      </c>
      <c r="O29" s="2" t="s">
        <v>593</v>
      </c>
      <c r="P29" s="2" t="s">
        <v>594</v>
      </c>
      <c r="Q29" s="2" t="s">
        <v>595</v>
      </c>
      <c r="R29" s="2" t="s">
        <v>596</v>
      </c>
      <c r="S29" s="2" t="s">
        <v>50</v>
      </c>
      <c r="T29" s="2" t="s">
        <v>597</v>
      </c>
      <c r="U29" s="2" t="s">
        <v>598</v>
      </c>
      <c r="V29" s="2"/>
      <c r="W29" s="2" t="s">
        <v>599</v>
      </c>
      <c r="X29" s="2" t="s">
        <v>600</v>
      </c>
      <c r="Y29" s="2" t="s">
        <v>601</v>
      </c>
      <c r="Z29" s="2" t="s">
        <v>602</v>
      </c>
      <c r="AA29" s="2"/>
      <c r="AB29" s="2"/>
      <c r="AC29" s="2" t="s">
        <v>603</v>
      </c>
      <c r="AD29" s="2"/>
      <c r="AE29" s="2" t="s">
        <v>58</v>
      </c>
      <c r="AF29" s="2"/>
      <c r="AG29" s="3" t="str">
        <f aca="false">IF(A29="","",IF(COUNTA(O29:R29)&lt;4,"Needs 4 options",IF(ISERROR(FIND(UPPER(S29),"ABCD"))+(LEN(S29)&lt;&gt;1),"Answer must be A-D",IF(OR(D29&lt;1,D29&gt;3),"Difficulty must be 1-3",IF(OR(N29="",T29=""),"Missing question or explanation",IF(COUNTBLANK(U29:X29)&lt;&gt;1,"Need 3 why-not texts",IF(INDEX(U29:X29,1,FIND(UPPER(S29),"ABCD"))&lt;&gt;"","Why-not filled for the answer",IF(AND(B29&lt;&gt;"live",B29&lt;&gt;"draft",B29&lt;&gt;"retired"),"Status must be live/draft/retired","OK"))))))))</f>
        <v>OK</v>
      </c>
    </row>
    <row r="30" customFormat="false" ht="135.8" hidden="false" customHeight="false" outlineLevel="0" collapsed="false">
      <c r="A30" s="2" t="s">
        <v>604</v>
      </c>
      <c r="B30" s="2" t="s">
        <v>34</v>
      </c>
      <c r="C30" s="2" t="s">
        <v>442</v>
      </c>
      <c r="D30" s="2" t="n">
        <v>2</v>
      </c>
      <c r="E30" s="2" t="s">
        <v>605</v>
      </c>
      <c r="F30" s="2" t="s">
        <v>37</v>
      </c>
      <c r="G30" s="2" t="s">
        <v>606</v>
      </c>
      <c r="H30" s="2" t="s">
        <v>607</v>
      </c>
      <c r="I30" s="2" t="s">
        <v>608</v>
      </c>
      <c r="J30" s="2" t="s">
        <v>609</v>
      </c>
      <c r="K30" s="2" t="s">
        <v>610</v>
      </c>
      <c r="L30" s="2" t="s">
        <v>246</v>
      </c>
      <c r="M30" s="2" t="s">
        <v>611</v>
      </c>
      <c r="N30" s="2" t="s">
        <v>612</v>
      </c>
      <c r="O30" s="2" t="s">
        <v>613</v>
      </c>
      <c r="P30" s="2" t="s">
        <v>614</v>
      </c>
      <c r="Q30" s="2" t="s">
        <v>615</v>
      </c>
      <c r="R30" s="2" t="s">
        <v>616</v>
      </c>
      <c r="S30" s="2" t="s">
        <v>50</v>
      </c>
      <c r="T30" s="2" t="s">
        <v>617</v>
      </c>
      <c r="U30" s="2" t="s">
        <v>618</v>
      </c>
      <c r="V30" s="2"/>
      <c r="W30" s="2" t="s">
        <v>619</v>
      </c>
      <c r="X30" s="2" t="s">
        <v>620</v>
      </c>
      <c r="Y30" s="2" t="s">
        <v>621</v>
      </c>
      <c r="Z30" s="2" t="s">
        <v>622</v>
      </c>
      <c r="AA30" s="2"/>
      <c r="AB30" s="2"/>
      <c r="AC30" s="2" t="s">
        <v>623</v>
      </c>
      <c r="AD30" s="2"/>
      <c r="AE30" s="2" t="s">
        <v>58</v>
      </c>
      <c r="AF30" s="2"/>
      <c r="AG30" s="3" t="str">
        <f aca="false">IF(A30="","",IF(COUNTA(O30:R30)&lt;4,"Needs 4 options",IF(ISERROR(FIND(UPPER(S30),"ABCD"))+(LEN(S30)&lt;&gt;1),"Answer must be A-D",IF(OR(D30&lt;1,D30&gt;3),"Difficulty must be 1-3",IF(OR(N30="",T30=""),"Missing question or explanation",IF(COUNTBLANK(U30:X30)&lt;&gt;1,"Need 3 why-not texts",IF(INDEX(U30:X30,1,FIND(UPPER(S30),"ABCD"))&lt;&gt;"","Why-not filled for the answer",IF(AND(B30&lt;&gt;"live",B30&lt;&gt;"draft",B30&lt;&gt;"retired"),"Status must be live/draft/retired","OK"))))))))</f>
        <v>OK</v>
      </c>
    </row>
    <row r="31" customFormat="false" ht="68.65" hidden="false" customHeight="false" outlineLevel="0" collapsed="false">
      <c r="A31" s="2" t="s">
        <v>624</v>
      </c>
      <c r="B31" s="2" t="s">
        <v>34</v>
      </c>
      <c r="C31" s="2" t="s">
        <v>442</v>
      </c>
      <c r="D31" s="2" t="n">
        <v>3</v>
      </c>
      <c r="E31" s="2" t="s">
        <v>625</v>
      </c>
      <c r="F31" s="2" t="s">
        <v>37</v>
      </c>
      <c r="G31" s="2" t="s">
        <v>626</v>
      </c>
      <c r="H31" s="2" t="s">
        <v>627</v>
      </c>
      <c r="I31" s="2" t="s">
        <v>628</v>
      </c>
      <c r="J31" s="2" t="s">
        <v>629</v>
      </c>
      <c r="K31" s="2" t="s">
        <v>630</v>
      </c>
      <c r="L31" s="2" t="s">
        <v>43</v>
      </c>
      <c r="M31" s="2" t="s">
        <v>631</v>
      </c>
      <c r="N31" s="2" t="s">
        <v>632</v>
      </c>
      <c r="O31" s="2" t="s">
        <v>633</v>
      </c>
      <c r="P31" s="2" t="s">
        <v>634</v>
      </c>
      <c r="Q31" s="2" t="s">
        <v>635</v>
      </c>
      <c r="R31" s="2" t="s">
        <v>636</v>
      </c>
      <c r="S31" s="2" t="s">
        <v>50</v>
      </c>
      <c r="T31" s="2" t="s">
        <v>637</v>
      </c>
      <c r="U31" s="2" t="s">
        <v>638</v>
      </c>
      <c r="V31" s="2"/>
      <c r="W31" s="2" t="s">
        <v>639</v>
      </c>
      <c r="X31" s="2" t="s">
        <v>640</v>
      </c>
      <c r="Y31" s="2" t="s">
        <v>641</v>
      </c>
      <c r="Z31" s="2" t="s">
        <v>642</v>
      </c>
      <c r="AA31" s="2"/>
      <c r="AB31" s="2"/>
      <c r="AC31" s="2" t="s">
        <v>643</v>
      </c>
      <c r="AD31" s="2"/>
      <c r="AE31" s="2" t="s">
        <v>58</v>
      </c>
      <c r="AF31" s="2"/>
      <c r="AG31" s="3" t="str">
        <f aca="false">IF(A31="","",IF(COUNTA(O31:R31)&lt;4,"Needs 4 options",IF(ISERROR(FIND(UPPER(S31),"ABCD"))+(LEN(S31)&lt;&gt;1),"Answer must be A-D",IF(OR(D31&lt;1,D31&gt;3),"Difficulty must be 1-3",IF(OR(N31="",T31=""),"Missing question or explanation",IF(COUNTBLANK(U31:X31)&lt;&gt;1,"Need 3 why-not texts",IF(INDEX(U31:X31,1,FIND(UPPER(S31),"ABCD"))&lt;&gt;"","Why-not filled for the answer",IF(AND(B31&lt;&gt;"live",B31&lt;&gt;"draft",B31&lt;&gt;"retired"),"Status must be live/draft/retired","OK"))))))))</f>
        <v>OK</v>
      </c>
    </row>
    <row r="32" customFormat="false" ht="35.05" hidden="false" customHeight="false" outlineLevel="0" collapsed="false">
      <c r="A32" s="2" t="s">
        <v>644</v>
      </c>
      <c r="B32" s="2" t="s">
        <v>34</v>
      </c>
      <c r="C32" s="2" t="s">
        <v>442</v>
      </c>
      <c r="D32" s="2" t="n">
        <v>1</v>
      </c>
      <c r="E32" s="2" t="s">
        <v>645</v>
      </c>
      <c r="F32" s="2" t="s">
        <v>223</v>
      </c>
      <c r="G32" s="2" t="s">
        <v>646</v>
      </c>
      <c r="H32" s="2" t="s">
        <v>246</v>
      </c>
      <c r="I32" s="2" t="s">
        <v>647</v>
      </c>
      <c r="J32" s="2" t="s">
        <v>648</v>
      </c>
      <c r="K32" s="2" t="s">
        <v>649</v>
      </c>
      <c r="L32" s="2" t="s">
        <v>650</v>
      </c>
      <c r="M32" s="2" t="s">
        <v>651</v>
      </c>
      <c r="N32" s="2" t="s">
        <v>652</v>
      </c>
      <c r="O32" s="2" t="s">
        <v>653</v>
      </c>
      <c r="P32" s="2" t="s">
        <v>654</v>
      </c>
      <c r="Q32" s="2" t="s">
        <v>655</v>
      </c>
      <c r="R32" s="2" t="s">
        <v>656</v>
      </c>
      <c r="S32" s="2" t="s">
        <v>50</v>
      </c>
      <c r="T32" s="2" t="s">
        <v>657</v>
      </c>
      <c r="U32" s="2" t="s">
        <v>658</v>
      </c>
      <c r="V32" s="2"/>
      <c r="W32" s="2" t="s">
        <v>659</v>
      </c>
      <c r="X32" s="2" t="s">
        <v>660</v>
      </c>
      <c r="Y32" s="2" t="s">
        <v>661</v>
      </c>
      <c r="Z32" s="2" t="s">
        <v>662</v>
      </c>
      <c r="AA32" s="2"/>
      <c r="AB32" s="2"/>
      <c r="AC32" s="2" t="s">
        <v>663</v>
      </c>
      <c r="AD32" s="2"/>
      <c r="AE32" s="2" t="s">
        <v>58</v>
      </c>
      <c r="AF32" s="2"/>
      <c r="AG32" s="3" t="str">
        <f aca="false">IF(A32="","",IF(COUNTA(O32:R32)&lt;4,"Needs 4 options",IF(ISERROR(FIND(UPPER(S32),"ABCD"))+(LEN(S32)&lt;&gt;1),"Answer must be A-D",IF(OR(D32&lt;1,D32&gt;3),"Difficulty must be 1-3",IF(OR(N32="",T32=""),"Missing question or explanation",IF(COUNTBLANK(U32:X32)&lt;&gt;1,"Need 3 why-not texts",IF(INDEX(U32:X32,1,FIND(UPPER(S32),"ABCD"))&lt;&gt;"","Why-not filled for the answer",IF(AND(B32&lt;&gt;"live",B32&lt;&gt;"draft",B32&lt;&gt;"retired"),"Status must be live/draft/retired","OK"))))))))</f>
        <v>OK</v>
      </c>
    </row>
    <row r="33" customFormat="false" ht="57.45" hidden="false" customHeight="false" outlineLevel="0" collapsed="false">
      <c r="A33" s="2" t="s">
        <v>664</v>
      </c>
      <c r="B33" s="2" t="s">
        <v>34</v>
      </c>
      <c r="C33" s="2" t="s">
        <v>665</v>
      </c>
      <c r="D33" s="2" t="n">
        <v>1</v>
      </c>
      <c r="E33" s="2" t="s">
        <v>666</v>
      </c>
      <c r="F33" s="2" t="s">
        <v>223</v>
      </c>
      <c r="G33" s="2" t="s">
        <v>667</v>
      </c>
      <c r="H33" s="2" t="s">
        <v>160</v>
      </c>
      <c r="I33" s="2" t="s">
        <v>668</v>
      </c>
      <c r="J33" s="2" t="s">
        <v>669</v>
      </c>
      <c r="K33" s="2" t="s">
        <v>65</v>
      </c>
      <c r="L33" s="2" t="s">
        <v>670</v>
      </c>
      <c r="M33" s="2" t="s">
        <v>671</v>
      </c>
      <c r="N33" s="2" t="s">
        <v>672</v>
      </c>
      <c r="O33" s="2" t="s">
        <v>673</v>
      </c>
      <c r="P33" s="2" t="s">
        <v>674</v>
      </c>
      <c r="Q33" s="2" t="s">
        <v>675</v>
      </c>
      <c r="R33" s="2" t="s">
        <v>676</v>
      </c>
      <c r="S33" s="2" t="s">
        <v>111</v>
      </c>
      <c r="T33" s="2" t="s">
        <v>677</v>
      </c>
      <c r="U33" s="2"/>
      <c r="V33" s="2" t="s">
        <v>678</v>
      </c>
      <c r="W33" s="2" t="s">
        <v>679</v>
      </c>
      <c r="X33" s="2" t="s">
        <v>680</v>
      </c>
      <c r="Y33" s="2" t="s">
        <v>681</v>
      </c>
      <c r="Z33" s="2" t="s">
        <v>682</v>
      </c>
      <c r="AA33" s="2"/>
      <c r="AB33" s="2"/>
      <c r="AC33" s="2" t="s">
        <v>683</v>
      </c>
      <c r="AD33" s="2"/>
      <c r="AE33" s="2" t="s">
        <v>58</v>
      </c>
      <c r="AF33" s="2"/>
      <c r="AG33" s="3" t="str">
        <f aca="false">IF(A33="","",IF(COUNTA(O33:R33)&lt;4,"Needs 4 options",IF(ISERROR(FIND(UPPER(S33),"ABCD"))+(LEN(S33)&lt;&gt;1),"Answer must be A-D",IF(OR(D33&lt;1,D33&gt;3),"Difficulty must be 1-3",IF(OR(N33="",T33=""),"Missing question or explanation",IF(COUNTBLANK(U33:X33)&lt;&gt;1,"Need 3 why-not texts",IF(INDEX(U33:X33,1,FIND(UPPER(S33),"ABCD"))&lt;&gt;"","Why-not filled for the answer",IF(AND(B33&lt;&gt;"live",B33&lt;&gt;"draft",B33&lt;&gt;"retired"),"Status must be live/draft/retired","OK"))))))))</f>
        <v>OK</v>
      </c>
    </row>
    <row r="34" customFormat="false" ht="57.45" hidden="false" customHeight="false" outlineLevel="0" collapsed="false">
      <c r="A34" s="2" t="s">
        <v>684</v>
      </c>
      <c r="B34" s="2" t="s">
        <v>34</v>
      </c>
      <c r="C34" s="2" t="s">
        <v>665</v>
      </c>
      <c r="D34" s="2" t="n">
        <v>2</v>
      </c>
      <c r="E34" s="2" t="s">
        <v>685</v>
      </c>
      <c r="F34" s="2" t="s">
        <v>37</v>
      </c>
      <c r="G34" s="2" t="s">
        <v>686</v>
      </c>
      <c r="H34" s="2" t="s">
        <v>687</v>
      </c>
      <c r="I34" s="2" t="s">
        <v>688</v>
      </c>
      <c r="J34" s="2" t="s">
        <v>689</v>
      </c>
      <c r="K34" s="2" t="s">
        <v>690</v>
      </c>
      <c r="L34" s="2" t="s">
        <v>549</v>
      </c>
      <c r="M34" s="2" t="s">
        <v>691</v>
      </c>
      <c r="N34" s="2" t="s">
        <v>692</v>
      </c>
      <c r="O34" s="2" t="s">
        <v>693</v>
      </c>
      <c r="P34" s="2" t="s">
        <v>694</v>
      </c>
      <c r="Q34" s="2" t="s">
        <v>695</v>
      </c>
      <c r="R34" s="2" t="s">
        <v>696</v>
      </c>
      <c r="S34" s="2" t="s">
        <v>50</v>
      </c>
      <c r="T34" s="2" t="s">
        <v>697</v>
      </c>
      <c r="U34" s="2" t="s">
        <v>698</v>
      </c>
      <c r="V34" s="2"/>
      <c r="W34" s="2" t="s">
        <v>699</v>
      </c>
      <c r="X34" s="2" t="s">
        <v>700</v>
      </c>
      <c r="Y34" s="2"/>
      <c r="Z34" s="2"/>
      <c r="AA34" s="2"/>
      <c r="AB34" s="2"/>
      <c r="AC34" s="2" t="s">
        <v>701</v>
      </c>
      <c r="AD34" s="2" t="s">
        <v>702</v>
      </c>
      <c r="AE34" s="2" t="s">
        <v>58</v>
      </c>
      <c r="AF34" s="2"/>
      <c r="AG34" s="3" t="str">
        <f aca="false">IF(A34="","",IF(COUNTA(O34:R34)&lt;4,"Needs 4 options",IF(ISERROR(FIND(UPPER(S34),"ABCD"))+(LEN(S34)&lt;&gt;1),"Answer must be A-D",IF(OR(D34&lt;1,D34&gt;3),"Difficulty must be 1-3",IF(OR(N34="",T34=""),"Missing question or explanation",IF(COUNTBLANK(U34:X34)&lt;&gt;1,"Need 3 why-not texts",IF(INDEX(U34:X34,1,FIND(UPPER(S34),"ABCD"))&lt;&gt;"","Why-not filled for the answer",IF(AND(B34&lt;&gt;"live",B34&lt;&gt;"draft",B34&lt;&gt;"retired"),"Status must be live/draft/retired","OK"))))))))</f>
        <v>OK</v>
      </c>
    </row>
    <row r="35" customFormat="false" ht="57.45" hidden="false" customHeight="false" outlineLevel="0" collapsed="false">
      <c r="A35" s="2" t="s">
        <v>703</v>
      </c>
      <c r="B35" s="2" t="s">
        <v>34</v>
      </c>
      <c r="C35" s="2" t="s">
        <v>665</v>
      </c>
      <c r="D35" s="2" t="n">
        <v>2</v>
      </c>
      <c r="E35" s="2" t="s">
        <v>704</v>
      </c>
      <c r="F35" s="2" t="s">
        <v>223</v>
      </c>
      <c r="G35" s="2" t="s">
        <v>705</v>
      </c>
      <c r="H35" s="2" t="s">
        <v>384</v>
      </c>
      <c r="I35" s="2" t="s">
        <v>706</v>
      </c>
      <c r="J35" s="2" t="s">
        <v>707</v>
      </c>
      <c r="K35" s="2" t="s">
        <v>708</v>
      </c>
      <c r="L35" s="2" t="s">
        <v>246</v>
      </c>
      <c r="M35" s="2" t="s">
        <v>709</v>
      </c>
      <c r="N35" s="2" t="s">
        <v>409</v>
      </c>
      <c r="O35" s="2" t="s">
        <v>710</v>
      </c>
      <c r="P35" s="2" t="s">
        <v>711</v>
      </c>
      <c r="Q35" s="2" t="s">
        <v>712</v>
      </c>
      <c r="R35" s="2" t="s">
        <v>713</v>
      </c>
      <c r="S35" s="2" t="s">
        <v>50</v>
      </c>
      <c r="T35" s="2" t="s">
        <v>714</v>
      </c>
      <c r="U35" s="2" t="s">
        <v>715</v>
      </c>
      <c r="V35" s="2"/>
      <c r="W35" s="2" t="s">
        <v>716</v>
      </c>
      <c r="X35" s="2" t="s">
        <v>717</v>
      </c>
      <c r="Y35" s="2"/>
      <c r="Z35" s="2"/>
      <c r="AA35" s="2"/>
      <c r="AB35" s="2"/>
      <c r="AC35" s="2" t="s">
        <v>718</v>
      </c>
      <c r="AD35" s="2" t="s">
        <v>702</v>
      </c>
      <c r="AE35" s="2" t="s">
        <v>58</v>
      </c>
      <c r="AF35" s="2"/>
      <c r="AG35" s="3" t="str">
        <f aca="false">IF(A35="","",IF(COUNTA(O35:R35)&lt;4,"Needs 4 options",IF(ISERROR(FIND(UPPER(S35),"ABCD"))+(LEN(S35)&lt;&gt;1),"Answer must be A-D",IF(OR(D35&lt;1,D35&gt;3),"Difficulty must be 1-3",IF(OR(N35="",T35=""),"Missing question or explanation",IF(COUNTBLANK(U35:X35)&lt;&gt;1,"Need 3 why-not texts",IF(INDEX(U35:X35,1,FIND(UPPER(S35),"ABCD"))&lt;&gt;"","Why-not filled for the answer",IF(AND(B35&lt;&gt;"live",B35&lt;&gt;"draft",B35&lt;&gt;"retired"),"Status must be live/draft/retired","OK"))))))))</f>
        <v>OK</v>
      </c>
    </row>
    <row r="36" customFormat="false" ht="57.45" hidden="false" customHeight="false" outlineLevel="0" collapsed="false">
      <c r="A36" s="2" t="s">
        <v>719</v>
      </c>
      <c r="B36" s="2" t="s">
        <v>34</v>
      </c>
      <c r="C36" s="2" t="s">
        <v>665</v>
      </c>
      <c r="D36" s="2" t="n">
        <v>3</v>
      </c>
      <c r="E36" s="2" t="s">
        <v>720</v>
      </c>
      <c r="F36" s="2" t="s">
        <v>223</v>
      </c>
      <c r="G36" s="2" t="s">
        <v>721</v>
      </c>
      <c r="H36" s="2" t="s">
        <v>138</v>
      </c>
      <c r="I36" s="2" t="s">
        <v>722</v>
      </c>
      <c r="J36" s="2" t="s">
        <v>588</v>
      </c>
      <c r="K36" s="2" t="s">
        <v>723</v>
      </c>
      <c r="L36" s="2" t="s">
        <v>590</v>
      </c>
      <c r="M36" s="2" t="s">
        <v>724</v>
      </c>
      <c r="N36" s="2" t="s">
        <v>725</v>
      </c>
      <c r="O36" s="2" t="s">
        <v>726</v>
      </c>
      <c r="P36" s="2" t="s">
        <v>727</v>
      </c>
      <c r="Q36" s="2" t="s">
        <v>728</v>
      </c>
      <c r="R36" s="2" t="s">
        <v>729</v>
      </c>
      <c r="S36" s="2" t="s">
        <v>50</v>
      </c>
      <c r="T36" s="2" t="s">
        <v>730</v>
      </c>
      <c r="U36" s="2" t="s">
        <v>731</v>
      </c>
      <c r="V36" s="2"/>
      <c r="W36" s="2" t="s">
        <v>732</v>
      </c>
      <c r="X36" s="2" t="s">
        <v>733</v>
      </c>
      <c r="Y36" s="2"/>
      <c r="Z36" s="2"/>
      <c r="AA36" s="2"/>
      <c r="AB36" s="2"/>
      <c r="AC36" s="2" t="s">
        <v>734</v>
      </c>
      <c r="AD36" s="2" t="s">
        <v>702</v>
      </c>
      <c r="AE36" s="2" t="s">
        <v>58</v>
      </c>
      <c r="AF36" s="2"/>
      <c r="AG36" s="3" t="str">
        <f aca="false">IF(A36="","",IF(COUNTA(O36:R36)&lt;4,"Needs 4 options",IF(ISERROR(FIND(UPPER(S36),"ABCD"))+(LEN(S36)&lt;&gt;1),"Answer must be A-D",IF(OR(D36&lt;1,D36&gt;3),"Difficulty must be 1-3",IF(OR(N36="",T36=""),"Missing question or explanation",IF(COUNTBLANK(U36:X36)&lt;&gt;1,"Need 3 why-not texts",IF(INDEX(U36:X36,1,FIND(UPPER(S36),"ABCD"))&lt;&gt;"","Why-not filled for the answer",IF(AND(B36&lt;&gt;"live",B36&lt;&gt;"draft",B36&lt;&gt;"retired"),"Status must be live/draft/retired","OK"))))))))</f>
        <v>OK</v>
      </c>
    </row>
    <row r="37" customFormat="false" ht="57.45" hidden="false" customHeight="false" outlineLevel="0" collapsed="false">
      <c r="A37" s="2" t="s">
        <v>735</v>
      </c>
      <c r="B37" s="2" t="s">
        <v>34</v>
      </c>
      <c r="C37" s="2" t="s">
        <v>35</v>
      </c>
      <c r="D37" s="2" t="n">
        <v>3</v>
      </c>
      <c r="E37" s="2" t="s">
        <v>736</v>
      </c>
      <c r="F37" s="2" t="s">
        <v>37</v>
      </c>
      <c r="G37" s="2" t="s">
        <v>737</v>
      </c>
      <c r="H37" s="2" t="s">
        <v>738</v>
      </c>
      <c r="I37" s="2" t="s">
        <v>739</v>
      </c>
      <c r="J37" s="2" t="s">
        <v>740</v>
      </c>
      <c r="K37" s="2" t="s">
        <v>741</v>
      </c>
      <c r="L37" s="2" t="s">
        <v>43</v>
      </c>
      <c r="M37" s="2" t="s">
        <v>742</v>
      </c>
      <c r="N37" s="2" t="s">
        <v>743</v>
      </c>
      <c r="O37" s="2" t="s">
        <v>744</v>
      </c>
      <c r="P37" s="2" t="s">
        <v>745</v>
      </c>
      <c r="Q37" s="2" t="s">
        <v>746</v>
      </c>
      <c r="R37" s="2" t="s">
        <v>747</v>
      </c>
      <c r="S37" s="2" t="s">
        <v>50</v>
      </c>
      <c r="T37" s="2" t="s">
        <v>748</v>
      </c>
      <c r="U37" s="2" t="s">
        <v>749</v>
      </c>
      <c r="V37" s="2"/>
      <c r="W37" s="2" t="s">
        <v>750</v>
      </c>
      <c r="X37" s="2" t="s">
        <v>751</v>
      </c>
      <c r="Y37" s="2" t="s">
        <v>752</v>
      </c>
      <c r="Z37" s="2" t="s">
        <v>753</v>
      </c>
      <c r="AA37" s="2" t="s">
        <v>754</v>
      </c>
      <c r="AB37" s="2" t="s">
        <v>755</v>
      </c>
      <c r="AC37" s="2" t="s">
        <v>756</v>
      </c>
      <c r="AD37" s="2"/>
      <c r="AE37" s="2" t="s">
        <v>58</v>
      </c>
      <c r="AF37" s="2"/>
      <c r="AG37" s="3" t="str">
        <f aca="false">IF(A37="","",IF(COUNTA(O37:R37)&lt;4,"Needs 4 options",IF(ISERROR(FIND(UPPER(S37),"ABCD"))+(LEN(S37)&lt;&gt;1),"Answer must be A-D",IF(OR(D37&lt;1,D37&gt;3),"Difficulty must be 1-3",IF(OR(N37="",T37=""),"Missing question or explanation",IF(COUNTBLANK(U37:X37)&lt;&gt;1,"Need 3 why-not texts",IF(INDEX(U37:X37,1,FIND(UPPER(S37),"ABCD"))&lt;&gt;"","Why-not filled for the answer",IF(AND(B37&lt;&gt;"live",B37&lt;&gt;"draft",B37&lt;&gt;"retired"),"Status must be live/draft/retired","OK"))))))))</f>
        <v>OK</v>
      </c>
    </row>
    <row r="38" customFormat="false" ht="113.4" hidden="false" customHeight="false" outlineLevel="0" collapsed="false">
      <c r="A38" s="2" t="s">
        <v>757</v>
      </c>
      <c r="B38" s="2" t="s">
        <v>34</v>
      </c>
      <c r="C38" s="2" t="s">
        <v>35</v>
      </c>
      <c r="D38" s="2" t="n">
        <v>3</v>
      </c>
      <c r="E38" s="2" t="s">
        <v>758</v>
      </c>
      <c r="F38" s="2" t="s">
        <v>37</v>
      </c>
      <c r="G38" s="2" t="s">
        <v>759</v>
      </c>
      <c r="H38" s="2" t="s">
        <v>760</v>
      </c>
      <c r="I38" s="2" t="s">
        <v>761</v>
      </c>
      <c r="J38" s="2" t="s">
        <v>762</v>
      </c>
      <c r="K38" s="2" t="s">
        <v>763</v>
      </c>
      <c r="L38" s="2" t="s">
        <v>764</v>
      </c>
      <c r="M38" s="2" t="s">
        <v>765</v>
      </c>
      <c r="N38" s="2" t="s">
        <v>766</v>
      </c>
      <c r="O38" s="2" t="s">
        <v>767</v>
      </c>
      <c r="P38" s="2" t="s">
        <v>768</v>
      </c>
      <c r="Q38" s="2" t="s">
        <v>769</v>
      </c>
      <c r="R38" s="2" t="s">
        <v>770</v>
      </c>
      <c r="S38" s="2" t="s">
        <v>50</v>
      </c>
      <c r="T38" s="2" t="s">
        <v>771</v>
      </c>
      <c r="U38" s="2" t="s">
        <v>772</v>
      </c>
      <c r="V38" s="2"/>
      <c r="W38" s="2" t="s">
        <v>773</v>
      </c>
      <c r="X38" s="2" t="s">
        <v>774</v>
      </c>
      <c r="Y38" s="2" t="s">
        <v>775</v>
      </c>
      <c r="Z38" s="2" t="s">
        <v>776</v>
      </c>
      <c r="AA38" s="2"/>
      <c r="AB38" s="2"/>
      <c r="AC38" s="2" t="s">
        <v>777</v>
      </c>
      <c r="AD38" s="2"/>
      <c r="AE38" s="2" t="s">
        <v>58</v>
      </c>
      <c r="AF38" s="2"/>
      <c r="AG38" s="3" t="str">
        <f aca="false">IF(A38="","",IF(COUNTA(O38:R38)&lt;4,"Needs 4 options",IF(ISERROR(FIND(UPPER(S38),"ABCD"))+(LEN(S38)&lt;&gt;1),"Answer must be A-D",IF(OR(D38&lt;1,D38&gt;3),"Difficulty must be 1-3",IF(OR(N38="",T38=""),"Missing question or explanation",IF(COUNTBLANK(U38:X38)&lt;&gt;1,"Need 3 why-not texts",IF(INDEX(U38:X38,1,FIND(UPPER(S38),"ABCD"))&lt;&gt;"","Why-not filled for the answer",IF(AND(B38&lt;&gt;"live",B38&lt;&gt;"draft",B38&lt;&gt;"retired"),"Status must be live/draft/retired","OK"))))))))</f>
        <v>OK</v>
      </c>
    </row>
    <row r="39" customFormat="false" ht="46.25" hidden="false" customHeight="false" outlineLevel="0" collapsed="false">
      <c r="A39" s="2" t="s">
        <v>778</v>
      </c>
      <c r="B39" s="2" t="s">
        <v>34</v>
      </c>
      <c r="C39" s="2" t="s">
        <v>35</v>
      </c>
      <c r="D39" s="2" t="n">
        <v>1</v>
      </c>
      <c r="E39" s="2" t="s">
        <v>779</v>
      </c>
      <c r="F39" s="2" t="s">
        <v>37</v>
      </c>
      <c r="G39" s="2" t="s">
        <v>780</v>
      </c>
      <c r="H39" s="2" t="s">
        <v>781</v>
      </c>
      <c r="I39" s="2" t="s">
        <v>782</v>
      </c>
      <c r="J39" s="2" t="s">
        <v>783</v>
      </c>
      <c r="K39" s="2" t="s">
        <v>784</v>
      </c>
      <c r="L39" s="2" t="s">
        <v>43</v>
      </c>
      <c r="M39" s="2" t="s">
        <v>84</v>
      </c>
      <c r="N39" s="2" t="s">
        <v>785</v>
      </c>
      <c r="O39" s="2" t="s">
        <v>786</v>
      </c>
      <c r="P39" s="2" t="s">
        <v>787</v>
      </c>
      <c r="Q39" s="2" t="s">
        <v>788</v>
      </c>
      <c r="R39" s="2" t="s">
        <v>789</v>
      </c>
      <c r="S39" s="2" t="s">
        <v>111</v>
      </c>
      <c r="T39" s="2" t="s">
        <v>790</v>
      </c>
      <c r="U39" s="2"/>
      <c r="V39" s="2" t="s">
        <v>791</v>
      </c>
      <c r="W39" s="2" t="s">
        <v>792</v>
      </c>
      <c r="X39" s="2" t="s">
        <v>793</v>
      </c>
      <c r="Y39" s="2" t="s">
        <v>794</v>
      </c>
      <c r="Z39" s="2" t="s">
        <v>795</v>
      </c>
      <c r="AA39" s="2"/>
      <c r="AB39" s="2"/>
      <c r="AC39" s="2" t="s">
        <v>796</v>
      </c>
      <c r="AD39" s="2"/>
      <c r="AE39" s="2" t="s">
        <v>58</v>
      </c>
      <c r="AF39" s="2"/>
      <c r="AG39" s="3" t="str">
        <f aca="false">IF(A39="","",IF(COUNTA(O39:R39)&lt;4,"Needs 4 options",IF(ISERROR(FIND(UPPER(S39),"ABCD"))+(LEN(S39)&lt;&gt;1),"Answer must be A-D",IF(OR(D39&lt;1,D39&gt;3),"Difficulty must be 1-3",IF(OR(N39="",T39=""),"Missing question or explanation",IF(COUNTBLANK(U39:X39)&lt;&gt;1,"Need 3 why-not texts",IF(INDEX(U39:X39,1,FIND(UPPER(S39),"ABCD"))&lt;&gt;"","Why-not filled for the answer",IF(AND(B39&lt;&gt;"live",B39&lt;&gt;"draft",B39&lt;&gt;"retired"),"Status must be live/draft/retired","OK"))))))))</f>
        <v>OK</v>
      </c>
    </row>
    <row r="40" customFormat="false" ht="46.25" hidden="false" customHeight="false" outlineLevel="0" collapsed="false">
      <c r="A40" s="2" t="s">
        <v>797</v>
      </c>
      <c r="B40" s="2" t="s">
        <v>34</v>
      </c>
      <c r="C40" s="2" t="s">
        <v>35</v>
      </c>
      <c r="D40" s="2" t="n">
        <v>1</v>
      </c>
      <c r="E40" s="2" t="s">
        <v>798</v>
      </c>
      <c r="F40" s="2" t="s">
        <v>799</v>
      </c>
      <c r="G40" s="2" t="s">
        <v>800</v>
      </c>
      <c r="H40" s="2" t="s">
        <v>801</v>
      </c>
      <c r="I40" s="2" t="s">
        <v>802</v>
      </c>
      <c r="J40" s="2" t="s">
        <v>803</v>
      </c>
      <c r="K40" s="2" t="s">
        <v>804</v>
      </c>
      <c r="L40" s="2" t="s">
        <v>670</v>
      </c>
      <c r="M40" s="2" t="s">
        <v>805</v>
      </c>
      <c r="N40" s="2" t="s">
        <v>806</v>
      </c>
      <c r="O40" s="2" t="s">
        <v>807</v>
      </c>
      <c r="P40" s="2" t="s">
        <v>808</v>
      </c>
      <c r="Q40" s="2" t="s">
        <v>809</v>
      </c>
      <c r="R40" s="2" t="s">
        <v>810</v>
      </c>
      <c r="S40" s="2" t="s">
        <v>50</v>
      </c>
      <c r="T40" s="2" t="s">
        <v>811</v>
      </c>
      <c r="U40" s="2" t="s">
        <v>812</v>
      </c>
      <c r="V40" s="2"/>
      <c r="W40" s="2" t="s">
        <v>813</v>
      </c>
      <c r="X40" s="2" t="s">
        <v>814</v>
      </c>
      <c r="Y40" s="2" t="s">
        <v>815</v>
      </c>
      <c r="Z40" s="2" t="s">
        <v>816</v>
      </c>
      <c r="AA40" s="2"/>
      <c r="AB40" s="2"/>
      <c r="AC40" s="2" t="s">
        <v>817</v>
      </c>
      <c r="AD40" s="2"/>
      <c r="AE40" s="2" t="s">
        <v>58</v>
      </c>
      <c r="AF40" s="2"/>
      <c r="AG40" s="3" t="str">
        <f aca="false">IF(A40="","",IF(COUNTA(O40:R40)&lt;4,"Needs 4 options",IF(ISERROR(FIND(UPPER(S40),"ABCD"))+(LEN(S40)&lt;&gt;1),"Answer must be A-D",IF(OR(D40&lt;1,D40&gt;3),"Difficulty must be 1-3",IF(OR(N40="",T40=""),"Missing question or explanation",IF(COUNTBLANK(U40:X40)&lt;&gt;1,"Need 3 why-not texts",IF(INDEX(U40:X40,1,FIND(UPPER(S40),"ABCD"))&lt;&gt;"","Why-not filled for the answer",IF(AND(B40&lt;&gt;"live",B40&lt;&gt;"draft",B40&lt;&gt;"retired"),"Status must be live/draft/retired","OK"))))))))</f>
        <v>OK</v>
      </c>
    </row>
    <row r="41" customFormat="false" ht="46.25" hidden="false" customHeight="false" outlineLevel="0" collapsed="false">
      <c r="A41" s="2" t="s">
        <v>818</v>
      </c>
      <c r="B41" s="2" t="s">
        <v>34</v>
      </c>
      <c r="C41" s="2" t="s">
        <v>35</v>
      </c>
      <c r="D41" s="2" t="n">
        <v>2</v>
      </c>
      <c r="E41" s="2" t="s">
        <v>819</v>
      </c>
      <c r="F41" s="2" t="s">
        <v>223</v>
      </c>
      <c r="G41" s="2" t="s">
        <v>820</v>
      </c>
      <c r="H41" s="2" t="s">
        <v>821</v>
      </c>
      <c r="I41" s="2" t="s">
        <v>822</v>
      </c>
      <c r="J41" s="2" t="s">
        <v>823</v>
      </c>
      <c r="K41" s="2" t="s">
        <v>824</v>
      </c>
      <c r="L41" s="2" t="s">
        <v>825</v>
      </c>
      <c r="M41" s="2" t="s">
        <v>826</v>
      </c>
      <c r="N41" s="2" t="s">
        <v>827</v>
      </c>
      <c r="O41" s="2" t="s">
        <v>828</v>
      </c>
      <c r="P41" s="2" t="s">
        <v>829</v>
      </c>
      <c r="Q41" s="2" t="s">
        <v>830</v>
      </c>
      <c r="R41" s="2" t="s">
        <v>831</v>
      </c>
      <c r="S41" s="2" t="s">
        <v>50</v>
      </c>
      <c r="T41" s="2" t="s">
        <v>832</v>
      </c>
      <c r="U41" s="2" t="s">
        <v>833</v>
      </c>
      <c r="V41" s="2"/>
      <c r="W41" s="2" t="s">
        <v>834</v>
      </c>
      <c r="X41" s="2" t="s">
        <v>835</v>
      </c>
      <c r="Y41" s="2" t="s">
        <v>836</v>
      </c>
      <c r="Z41" s="2" t="s">
        <v>837</v>
      </c>
      <c r="AA41" s="2" t="s">
        <v>838</v>
      </c>
      <c r="AB41" s="2" t="s">
        <v>839</v>
      </c>
      <c r="AC41" s="2" t="s">
        <v>840</v>
      </c>
      <c r="AD41" s="2"/>
      <c r="AE41" s="2" t="s">
        <v>58</v>
      </c>
      <c r="AF41" s="2"/>
      <c r="AG41" s="3" t="str">
        <f aca="false">IF(A41="","",IF(COUNTA(O41:R41)&lt;4,"Needs 4 options",IF(ISERROR(FIND(UPPER(S41),"ABCD"))+(LEN(S41)&lt;&gt;1),"Answer must be A-D",IF(OR(D41&lt;1,D41&gt;3),"Difficulty must be 1-3",IF(OR(N41="",T41=""),"Missing question or explanation",IF(COUNTBLANK(U41:X41)&lt;&gt;1,"Need 3 why-not texts",IF(INDEX(U41:X41,1,FIND(UPPER(S41),"ABCD"))&lt;&gt;"","Why-not filled for the answer",IF(AND(B41&lt;&gt;"live",B41&lt;&gt;"draft",B41&lt;&gt;"retired"),"Status must be live/draft/retired","OK"))))))))</f>
        <v>OK</v>
      </c>
    </row>
    <row r="42" customFormat="false" ht="68.65" hidden="false" customHeight="false" outlineLevel="0" collapsed="false">
      <c r="A42" s="2" t="s">
        <v>841</v>
      </c>
      <c r="B42" s="2" t="s">
        <v>34</v>
      </c>
      <c r="C42" s="2" t="s">
        <v>35</v>
      </c>
      <c r="D42" s="2" t="n">
        <v>2</v>
      </c>
      <c r="E42" s="2" t="s">
        <v>842</v>
      </c>
      <c r="F42" s="2" t="s">
        <v>223</v>
      </c>
      <c r="G42" s="2" t="s">
        <v>843</v>
      </c>
      <c r="H42" s="2" t="s">
        <v>248</v>
      </c>
      <c r="I42" s="2" t="s">
        <v>844</v>
      </c>
      <c r="J42" s="2" t="s">
        <v>845</v>
      </c>
      <c r="K42" s="2" t="s">
        <v>846</v>
      </c>
      <c r="L42" s="2" t="s">
        <v>847</v>
      </c>
      <c r="M42" s="2" t="s">
        <v>848</v>
      </c>
      <c r="N42" s="2" t="s">
        <v>849</v>
      </c>
      <c r="O42" s="2" t="s">
        <v>850</v>
      </c>
      <c r="P42" s="2" t="s">
        <v>851</v>
      </c>
      <c r="Q42" s="2" t="s">
        <v>852</v>
      </c>
      <c r="R42" s="2" t="s">
        <v>853</v>
      </c>
      <c r="S42" s="2" t="s">
        <v>50</v>
      </c>
      <c r="T42" s="2" t="s">
        <v>854</v>
      </c>
      <c r="U42" s="2" t="s">
        <v>855</v>
      </c>
      <c r="V42" s="2"/>
      <c r="W42" s="2" t="s">
        <v>856</v>
      </c>
      <c r="X42" s="2" t="s">
        <v>857</v>
      </c>
      <c r="Y42" s="2" t="s">
        <v>858</v>
      </c>
      <c r="Z42" s="2" t="s">
        <v>859</v>
      </c>
      <c r="AA42" s="2"/>
      <c r="AB42" s="2"/>
      <c r="AC42" s="2" t="s">
        <v>860</v>
      </c>
      <c r="AD42" s="2"/>
      <c r="AE42" s="2" t="s">
        <v>58</v>
      </c>
      <c r="AF42" s="2"/>
      <c r="AG42" s="3" t="str">
        <f aca="false">IF(A42="","",IF(COUNTA(O42:R42)&lt;4,"Needs 4 options",IF(ISERROR(FIND(UPPER(S42),"ABCD"))+(LEN(S42)&lt;&gt;1),"Answer must be A-D",IF(OR(D42&lt;1,D42&gt;3),"Difficulty must be 1-3",IF(OR(N42="",T42=""),"Missing question or explanation",IF(COUNTBLANK(U42:X42)&lt;&gt;1,"Need 3 why-not texts",IF(INDEX(U42:X42,1,FIND(UPPER(S42),"ABCD"))&lt;&gt;"","Why-not filled for the answer",IF(AND(B42&lt;&gt;"live",B42&lt;&gt;"draft",B42&lt;&gt;"retired"),"Status must be live/draft/retired","OK"))))))))</f>
        <v>OK</v>
      </c>
    </row>
    <row r="43" customFormat="false" ht="46.25" hidden="false" customHeight="false" outlineLevel="0" collapsed="false">
      <c r="A43" s="2" t="s">
        <v>861</v>
      </c>
      <c r="B43" s="2" t="s">
        <v>34</v>
      </c>
      <c r="C43" s="2" t="s">
        <v>35</v>
      </c>
      <c r="D43" s="2" t="n">
        <v>2</v>
      </c>
      <c r="E43" s="2" t="s">
        <v>862</v>
      </c>
      <c r="F43" s="2" t="s">
        <v>223</v>
      </c>
      <c r="G43" s="2" t="s">
        <v>264</v>
      </c>
      <c r="H43" s="2" t="s">
        <v>863</v>
      </c>
      <c r="I43" s="2" t="s">
        <v>864</v>
      </c>
      <c r="J43" s="2" t="s">
        <v>246</v>
      </c>
      <c r="K43" s="2" t="s">
        <v>865</v>
      </c>
      <c r="L43" s="2" t="s">
        <v>248</v>
      </c>
      <c r="M43" s="2" t="s">
        <v>366</v>
      </c>
      <c r="N43" s="2" t="s">
        <v>866</v>
      </c>
      <c r="O43" s="2" t="s">
        <v>867</v>
      </c>
      <c r="P43" s="2" t="s">
        <v>868</v>
      </c>
      <c r="Q43" s="2" t="s">
        <v>869</v>
      </c>
      <c r="R43" s="2" t="s">
        <v>870</v>
      </c>
      <c r="S43" s="2" t="s">
        <v>50</v>
      </c>
      <c r="T43" s="2" t="s">
        <v>871</v>
      </c>
      <c r="U43" s="2" t="s">
        <v>872</v>
      </c>
      <c r="V43" s="2"/>
      <c r="W43" s="2" t="s">
        <v>873</v>
      </c>
      <c r="X43" s="2" t="s">
        <v>874</v>
      </c>
      <c r="Y43" s="2" t="s">
        <v>875</v>
      </c>
      <c r="Z43" s="2" t="s">
        <v>876</v>
      </c>
      <c r="AA43" s="2"/>
      <c r="AB43" s="2"/>
      <c r="AC43" s="2" t="s">
        <v>877</v>
      </c>
      <c r="AD43" s="2"/>
      <c r="AE43" s="2" t="s">
        <v>58</v>
      </c>
      <c r="AF43" s="2"/>
      <c r="AG43" s="3" t="str">
        <f aca="false">IF(A43="","",IF(COUNTA(O43:R43)&lt;4,"Needs 4 options",IF(ISERROR(FIND(UPPER(S43),"ABCD"))+(LEN(S43)&lt;&gt;1),"Answer must be A-D",IF(OR(D43&lt;1,D43&gt;3),"Difficulty must be 1-3",IF(OR(N43="",T43=""),"Missing question or explanation",IF(COUNTBLANK(U43:X43)&lt;&gt;1,"Need 3 why-not texts",IF(INDEX(U43:X43,1,FIND(UPPER(S43),"ABCD"))&lt;&gt;"","Why-not filled for the answer",IF(AND(B43&lt;&gt;"live",B43&lt;&gt;"draft",B43&lt;&gt;"retired"),"Status must be live/draft/retired","OK"))))))))</f>
        <v>OK</v>
      </c>
    </row>
    <row r="44" customFormat="false" ht="102.2" hidden="false" customHeight="false" outlineLevel="0" collapsed="false">
      <c r="A44" s="2" t="s">
        <v>878</v>
      </c>
      <c r="B44" s="2" t="s">
        <v>34</v>
      </c>
      <c r="C44" s="2" t="s">
        <v>35</v>
      </c>
      <c r="D44" s="2" t="n">
        <v>3</v>
      </c>
      <c r="E44" s="2" t="s">
        <v>879</v>
      </c>
      <c r="F44" s="2" t="s">
        <v>223</v>
      </c>
      <c r="G44" s="2" t="s">
        <v>880</v>
      </c>
      <c r="H44" s="2" t="s">
        <v>160</v>
      </c>
      <c r="I44" s="2" t="s">
        <v>881</v>
      </c>
      <c r="J44" s="2" t="s">
        <v>882</v>
      </c>
      <c r="K44" s="2" t="s">
        <v>44</v>
      </c>
      <c r="L44" s="2" t="s">
        <v>248</v>
      </c>
      <c r="M44" s="2" t="s">
        <v>366</v>
      </c>
      <c r="N44" s="2" t="s">
        <v>883</v>
      </c>
      <c r="O44" s="2" t="s">
        <v>884</v>
      </c>
      <c r="P44" s="2" t="s">
        <v>885</v>
      </c>
      <c r="Q44" s="2" t="s">
        <v>886</v>
      </c>
      <c r="R44" s="2" t="s">
        <v>887</v>
      </c>
      <c r="S44" s="2" t="s">
        <v>50</v>
      </c>
      <c r="T44" s="2" t="s">
        <v>888</v>
      </c>
      <c r="U44" s="2" t="s">
        <v>889</v>
      </c>
      <c r="V44" s="2"/>
      <c r="W44" s="2" t="s">
        <v>890</v>
      </c>
      <c r="X44" s="2" t="s">
        <v>891</v>
      </c>
      <c r="Y44" s="2" t="s">
        <v>892</v>
      </c>
      <c r="Z44" s="2" t="s">
        <v>893</v>
      </c>
      <c r="AA44" s="2"/>
      <c r="AB44" s="2"/>
      <c r="AC44" s="2" t="s">
        <v>894</v>
      </c>
      <c r="AD44" s="2"/>
      <c r="AE44" s="2" t="s">
        <v>58</v>
      </c>
      <c r="AF44" s="2"/>
      <c r="AG44" s="3" t="str">
        <f aca="false">IF(A44="","",IF(COUNTA(O44:R44)&lt;4,"Needs 4 options",IF(ISERROR(FIND(UPPER(S44),"ABCD"))+(LEN(S44)&lt;&gt;1),"Answer must be A-D",IF(OR(D44&lt;1,D44&gt;3),"Difficulty must be 1-3",IF(OR(N44="",T44=""),"Missing question or explanation",IF(COUNTBLANK(U44:X44)&lt;&gt;1,"Need 3 why-not texts",IF(INDEX(U44:X44,1,FIND(UPPER(S44),"ABCD"))&lt;&gt;"","Why-not filled for the answer",IF(AND(B44&lt;&gt;"live",B44&lt;&gt;"draft",B44&lt;&gt;"retired"),"Status must be live/draft/retired","OK"))))))))</f>
        <v>OK</v>
      </c>
    </row>
    <row r="45" customFormat="false" ht="91" hidden="false" customHeight="false" outlineLevel="0" collapsed="false">
      <c r="A45" s="2" t="s">
        <v>895</v>
      </c>
      <c r="B45" s="2" t="s">
        <v>34</v>
      </c>
      <c r="C45" s="2" t="s">
        <v>896</v>
      </c>
      <c r="D45" s="2" t="n">
        <v>3</v>
      </c>
      <c r="E45" s="2" t="s">
        <v>897</v>
      </c>
      <c r="F45" s="2" t="s">
        <v>37</v>
      </c>
      <c r="G45" s="2" t="s">
        <v>898</v>
      </c>
      <c r="H45" s="2" t="s">
        <v>899</v>
      </c>
      <c r="I45" s="2" t="s">
        <v>900</v>
      </c>
      <c r="J45" s="2" t="s">
        <v>901</v>
      </c>
      <c r="K45" s="2" t="s">
        <v>902</v>
      </c>
      <c r="L45" s="2" t="s">
        <v>903</v>
      </c>
      <c r="M45" s="2" t="s">
        <v>904</v>
      </c>
      <c r="N45" s="2" t="s">
        <v>905</v>
      </c>
      <c r="O45" s="2" t="s">
        <v>906</v>
      </c>
      <c r="P45" s="2" t="s">
        <v>907</v>
      </c>
      <c r="Q45" s="2" t="s">
        <v>908</v>
      </c>
      <c r="R45" s="2" t="s">
        <v>909</v>
      </c>
      <c r="S45" s="2" t="s">
        <v>50</v>
      </c>
      <c r="T45" s="2" t="s">
        <v>910</v>
      </c>
      <c r="U45" s="2" t="s">
        <v>911</v>
      </c>
      <c r="V45" s="2"/>
      <c r="W45" s="2" t="s">
        <v>912</v>
      </c>
      <c r="X45" s="2" t="s">
        <v>913</v>
      </c>
      <c r="Y45" s="2" t="s">
        <v>914</v>
      </c>
      <c r="Z45" s="2" t="s">
        <v>915</v>
      </c>
      <c r="AA45" s="2"/>
      <c r="AB45" s="2"/>
      <c r="AC45" s="2" t="s">
        <v>916</v>
      </c>
      <c r="AD45" s="2"/>
      <c r="AE45" s="2" t="s">
        <v>58</v>
      </c>
      <c r="AF45" s="2"/>
      <c r="AG45" s="3" t="str">
        <f aca="false">IF(A45="","",IF(COUNTA(O45:R45)&lt;4,"Needs 4 options",IF(ISERROR(FIND(UPPER(S45),"ABCD"))+(LEN(S45)&lt;&gt;1),"Answer must be A-D",IF(OR(D45&lt;1,D45&gt;3),"Difficulty must be 1-3",IF(OR(N45="",T45=""),"Missing question or explanation",IF(COUNTBLANK(U45:X45)&lt;&gt;1,"Need 3 why-not texts",IF(INDEX(U45:X45,1,FIND(UPPER(S45),"ABCD"))&lt;&gt;"","Why-not filled for the answer",IF(AND(B45&lt;&gt;"live",B45&lt;&gt;"draft",B45&lt;&gt;"retired"),"Status must be live/draft/retired","OK"))))))))</f>
        <v>OK</v>
      </c>
    </row>
    <row r="46" customFormat="false" ht="91" hidden="false" customHeight="false" outlineLevel="0" collapsed="false">
      <c r="A46" s="2" t="s">
        <v>917</v>
      </c>
      <c r="B46" s="2" t="s">
        <v>34</v>
      </c>
      <c r="C46" s="2" t="s">
        <v>896</v>
      </c>
      <c r="D46" s="2" t="n">
        <v>2</v>
      </c>
      <c r="E46" s="2" t="s">
        <v>918</v>
      </c>
      <c r="F46" s="2" t="s">
        <v>37</v>
      </c>
      <c r="G46" s="2" t="s">
        <v>919</v>
      </c>
      <c r="H46" s="2" t="s">
        <v>545</v>
      </c>
      <c r="I46" s="2" t="s">
        <v>920</v>
      </c>
      <c r="J46" s="2" t="s">
        <v>549</v>
      </c>
      <c r="K46" s="2" t="s">
        <v>921</v>
      </c>
      <c r="L46" s="2" t="s">
        <v>922</v>
      </c>
      <c r="M46" s="2" t="s">
        <v>923</v>
      </c>
      <c r="N46" s="2" t="s">
        <v>348</v>
      </c>
      <c r="O46" s="2" t="s">
        <v>924</v>
      </c>
      <c r="P46" s="2" t="s">
        <v>925</v>
      </c>
      <c r="Q46" s="2" t="s">
        <v>926</v>
      </c>
      <c r="R46" s="2" t="s">
        <v>927</v>
      </c>
      <c r="S46" s="2" t="s">
        <v>50</v>
      </c>
      <c r="T46" s="2" t="s">
        <v>928</v>
      </c>
      <c r="U46" s="2" t="s">
        <v>929</v>
      </c>
      <c r="V46" s="2"/>
      <c r="W46" s="2" t="s">
        <v>930</v>
      </c>
      <c r="X46" s="2" t="s">
        <v>931</v>
      </c>
      <c r="Y46" s="2" t="s">
        <v>932</v>
      </c>
      <c r="Z46" s="2" t="s">
        <v>933</v>
      </c>
      <c r="AA46" s="2"/>
      <c r="AB46" s="2"/>
      <c r="AC46" s="2" t="s">
        <v>934</v>
      </c>
      <c r="AD46" s="2"/>
      <c r="AE46" s="2" t="s">
        <v>58</v>
      </c>
      <c r="AF46" s="2"/>
      <c r="AG46" s="3" t="str">
        <f aca="false">IF(A46="","",IF(COUNTA(O46:R46)&lt;4,"Needs 4 options",IF(ISERROR(FIND(UPPER(S46),"ABCD"))+(LEN(S46)&lt;&gt;1),"Answer must be A-D",IF(OR(D46&lt;1,D46&gt;3),"Difficulty must be 1-3",IF(OR(N46="",T46=""),"Missing question or explanation",IF(COUNTBLANK(U46:X46)&lt;&gt;1,"Need 3 why-not texts",IF(INDEX(U46:X46,1,FIND(UPPER(S46),"ABCD"))&lt;&gt;"","Why-not filled for the answer",IF(AND(B46&lt;&gt;"live",B46&lt;&gt;"draft",B46&lt;&gt;"retired"),"Status must be live/draft/retired","OK"))))))))</f>
        <v>OK</v>
      </c>
    </row>
    <row r="47" customFormat="false" ht="46.25" hidden="false" customHeight="false" outlineLevel="0" collapsed="false">
      <c r="A47" s="2" t="s">
        <v>935</v>
      </c>
      <c r="B47" s="2" t="s">
        <v>34</v>
      </c>
      <c r="C47" s="2" t="s">
        <v>896</v>
      </c>
      <c r="D47" s="2" t="n">
        <v>2</v>
      </c>
      <c r="E47" s="2" t="s">
        <v>936</v>
      </c>
      <c r="F47" s="2" t="s">
        <v>937</v>
      </c>
      <c r="G47" s="2" t="s">
        <v>938</v>
      </c>
      <c r="H47" s="2" t="s">
        <v>939</v>
      </c>
      <c r="I47" s="2" t="s">
        <v>940</v>
      </c>
      <c r="J47" s="2" t="s">
        <v>941</v>
      </c>
      <c r="K47" s="2" t="s">
        <v>942</v>
      </c>
      <c r="L47" s="2" t="s">
        <v>943</v>
      </c>
      <c r="M47" s="2" t="s">
        <v>944</v>
      </c>
      <c r="N47" s="2" t="s">
        <v>945</v>
      </c>
      <c r="O47" s="2" t="s">
        <v>946</v>
      </c>
      <c r="P47" s="2" t="s">
        <v>947</v>
      </c>
      <c r="Q47" s="2" t="s">
        <v>948</v>
      </c>
      <c r="R47" s="2" t="s">
        <v>949</v>
      </c>
      <c r="S47" s="2" t="s">
        <v>50</v>
      </c>
      <c r="T47" s="2" t="s">
        <v>950</v>
      </c>
      <c r="U47" s="2" t="s">
        <v>951</v>
      </c>
      <c r="V47" s="2"/>
      <c r="W47" s="2" t="s">
        <v>952</v>
      </c>
      <c r="X47" s="2" t="s">
        <v>953</v>
      </c>
      <c r="Y47" s="2" t="s">
        <v>954</v>
      </c>
      <c r="Z47" s="2" t="s">
        <v>955</v>
      </c>
      <c r="AA47" s="2" t="s">
        <v>956</v>
      </c>
      <c r="AB47" s="2" t="s">
        <v>957</v>
      </c>
      <c r="AC47" s="2" t="s">
        <v>958</v>
      </c>
      <c r="AD47" s="2"/>
      <c r="AE47" s="2" t="s">
        <v>58</v>
      </c>
      <c r="AF47" s="2"/>
      <c r="AG47" s="3" t="str">
        <f aca="false">IF(A47="","",IF(COUNTA(O47:R47)&lt;4,"Needs 4 options",IF(ISERROR(FIND(UPPER(S47),"ABCD"))+(LEN(S47)&lt;&gt;1),"Answer must be A-D",IF(OR(D47&lt;1,D47&gt;3),"Difficulty must be 1-3",IF(OR(N47="",T47=""),"Missing question or explanation",IF(COUNTBLANK(U47:X47)&lt;&gt;1,"Need 3 why-not texts",IF(INDEX(U47:X47,1,FIND(UPPER(S47),"ABCD"))&lt;&gt;"","Why-not filled for the answer",IF(AND(B47&lt;&gt;"live",B47&lt;&gt;"draft",B47&lt;&gt;"retired"),"Status must be live/draft/retired","OK"))))))))</f>
        <v>OK</v>
      </c>
    </row>
    <row r="48" customFormat="false" ht="57.45" hidden="false" customHeight="false" outlineLevel="0" collapsed="false">
      <c r="A48" s="2" t="s">
        <v>959</v>
      </c>
      <c r="B48" s="2" t="s">
        <v>34</v>
      </c>
      <c r="C48" s="2" t="s">
        <v>896</v>
      </c>
      <c r="D48" s="2" t="n">
        <v>1</v>
      </c>
      <c r="E48" s="2" t="s">
        <v>960</v>
      </c>
      <c r="F48" s="2" t="s">
        <v>37</v>
      </c>
      <c r="G48" s="2" t="s">
        <v>961</v>
      </c>
      <c r="H48" s="2" t="s">
        <v>962</v>
      </c>
      <c r="I48" s="2" t="s">
        <v>963</v>
      </c>
      <c r="J48" s="2" t="s">
        <v>964</v>
      </c>
      <c r="K48" s="2" t="s">
        <v>965</v>
      </c>
      <c r="L48" s="2" t="s">
        <v>966</v>
      </c>
      <c r="M48" s="2" t="s">
        <v>967</v>
      </c>
      <c r="N48" s="2" t="s">
        <v>968</v>
      </c>
      <c r="O48" s="2" t="s">
        <v>969</v>
      </c>
      <c r="P48" s="2" t="s">
        <v>349</v>
      </c>
      <c r="Q48" s="2" t="s">
        <v>970</v>
      </c>
      <c r="R48" s="2" t="s">
        <v>971</v>
      </c>
      <c r="S48" s="2" t="s">
        <v>50</v>
      </c>
      <c r="T48" s="2" t="s">
        <v>972</v>
      </c>
      <c r="U48" s="2" t="s">
        <v>973</v>
      </c>
      <c r="V48" s="2"/>
      <c r="W48" s="2" t="s">
        <v>974</v>
      </c>
      <c r="X48" s="2" t="s">
        <v>975</v>
      </c>
      <c r="Y48" s="2" t="s">
        <v>976</v>
      </c>
      <c r="Z48" s="2" t="s">
        <v>977</v>
      </c>
      <c r="AA48" s="2"/>
      <c r="AB48" s="2"/>
      <c r="AC48" s="2" t="s">
        <v>978</v>
      </c>
      <c r="AD48" s="2"/>
      <c r="AE48" s="2" t="s">
        <v>58</v>
      </c>
      <c r="AF48" s="2"/>
      <c r="AG48" s="3" t="str">
        <f aca="false">IF(A48="","",IF(COUNTA(O48:R48)&lt;4,"Needs 4 options",IF(ISERROR(FIND(UPPER(S48),"ABCD"))+(LEN(S48)&lt;&gt;1),"Answer must be A-D",IF(OR(D48&lt;1,D48&gt;3),"Difficulty must be 1-3",IF(OR(N48="",T48=""),"Missing question or explanation",IF(COUNTBLANK(U48:X48)&lt;&gt;1,"Need 3 why-not texts",IF(INDEX(U48:X48,1,FIND(UPPER(S48),"ABCD"))&lt;&gt;"","Why-not filled for the answer",IF(AND(B48&lt;&gt;"live",B48&lt;&gt;"draft",B48&lt;&gt;"retired"),"Status must be live/draft/retired","OK"))))))))</f>
        <v>OK</v>
      </c>
    </row>
    <row r="49" customFormat="false" ht="46.25" hidden="false" customHeight="false" outlineLevel="0" collapsed="false">
      <c r="A49" s="2" t="s">
        <v>979</v>
      </c>
      <c r="B49" s="2" t="s">
        <v>34</v>
      </c>
      <c r="C49" s="2" t="s">
        <v>179</v>
      </c>
      <c r="D49" s="2" t="n">
        <v>1</v>
      </c>
      <c r="E49" s="2" t="s">
        <v>980</v>
      </c>
      <c r="F49" s="2" t="s">
        <v>223</v>
      </c>
      <c r="G49" s="2" t="s">
        <v>264</v>
      </c>
      <c r="H49" s="2" t="s">
        <v>384</v>
      </c>
      <c r="I49" s="2" t="s">
        <v>981</v>
      </c>
      <c r="J49" s="2" t="s">
        <v>982</v>
      </c>
      <c r="K49" s="2" t="s">
        <v>983</v>
      </c>
      <c r="L49" s="2" t="s">
        <v>984</v>
      </c>
      <c r="M49" s="2" t="s">
        <v>985</v>
      </c>
      <c r="N49" s="2" t="s">
        <v>986</v>
      </c>
      <c r="O49" s="2" t="s">
        <v>987</v>
      </c>
      <c r="P49" s="2" t="s">
        <v>988</v>
      </c>
      <c r="Q49" s="2" t="s">
        <v>989</v>
      </c>
      <c r="R49" s="2" t="s">
        <v>990</v>
      </c>
      <c r="S49" s="2" t="s">
        <v>50</v>
      </c>
      <c r="T49" s="2" t="s">
        <v>991</v>
      </c>
      <c r="U49" s="2" t="s">
        <v>992</v>
      </c>
      <c r="V49" s="2"/>
      <c r="W49" s="2" t="s">
        <v>993</v>
      </c>
      <c r="X49" s="2" t="s">
        <v>994</v>
      </c>
      <c r="Y49" s="2" t="s">
        <v>995</v>
      </c>
      <c r="Z49" s="2" t="s">
        <v>996</v>
      </c>
      <c r="AA49" s="2"/>
      <c r="AB49" s="2"/>
      <c r="AC49" s="2" t="s">
        <v>997</v>
      </c>
      <c r="AD49" s="2"/>
      <c r="AE49" s="2" t="s">
        <v>58</v>
      </c>
      <c r="AF49" s="2"/>
      <c r="AG49" s="3" t="str">
        <f aca="false">IF(A49="","",IF(COUNTA(O49:R49)&lt;4,"Needs 4 options",IF(ISERROR(FIND(UPPER(S49),"ABCD"))+(LEN(S49)&lt;&gt;1),"Answer must be A-D",IF(OR(D49&lt;1,D49&gt;3),"Difficulty must be 1-3",IF(OR(N49="",T49=""),"Missing question or explanation",IF(COUNTBLANK(U49:X49)&lt;&gt;1,"Need 3 why-not texts",IF(INDEX(U49:X49,1,FIND(UPPER(S49),"ABCD"))&lt;&gt;"","Why-not filled for the answer",IF(AND(B49&lt;&gt;"live",B49&lt;&gt;"draft",B49&lt;&gt;"retired"),"Status must be live/draft/retired","OK"))))))))</f>
        <v>OK</v>
      </c>
    </row>
    <row r="50" customFormat="false" ht="46.25" hidden="false" customHeight="false" outlineLevel="0" collapsed="false">
      <c r="A50" s="2" t="s">
        <v>998</v>
      </c>
      <c r="B50" s="2" t="s">
        <v>34</v>
      </c>
      <c r="C50" s="2" t="s">
        <v>179</v>
      </c>
      <c r="D50" s="2" t="n">
        <v>3</v>
      </c>
      <c r="E50" s="2" t="s">
        <v>999</v>
      </c>
      <c r="F50" s="2" t="s">
        <v>223</v>
      </c>
      <c r="G50" s="2" t="s">
        <v>323</v>
      </c>
      <c r="H50" s="2" t="s">
        <v>160</v>
      </c>
      <c r="I50" s="2" t="s">
        <v>1000</v>
      </c>
      <c r="J50" s="2" t="s">
        <v>384</v>
      </c>
      <c r="K50" s="2" t="s">
        <v>1001</v>
      </c>
      <c r="L50" s="2" t="s">
        <v>549</v>
      </c>
      <c r="M50" s="2" t="s">
        <v>1002</v>
      </c>
      <c r="N50" s="2" t="s">
        <v>1003</v>
      </c>
      <c r="O50" s="2" t="s">
        <v>1004</v>
      </c>
      <c r="P50" s="2" t="s">
        <v>1005</v>
      </c>
      <c r="Q50" s="2" t="s">
        <v>1006</v>
      </c>
      <c r="R50" s="2" t="s">
        <v>1007</v>
      </c>
      <c r="S50" s="2" t="s">
        <v>50</v>
      </c>
      <c r="T50" s="2" t="s">
        <v>1008</v>
      </c>
      <c r="U50" s="2" t="s">
        <v>1009</v>
      </c>
      <c r="V50" s="2"/>
      <c r="W50" s="2" t="s">
        <v>1010</v>
      </c>
      <c r="X50" s="2" t="s">
        <v>1011</v>
      </c>
      <c r="Y50" s="2" t="s">
        <v>1012</v>
      </c>
      <c r="Z50" s="2" t="s">
        <v>1013</v>
      </c>
      <c r="AA50" s="2" t="s">
        <v>1014</v>
      </c>
      <c r="AB50" s="2" t="s">
        <v>1015</v>
      </c>
      <c r="AC50" s="2" t="s">
        <v>1016</v>
      </c>
      <c r="AD50" s="2"/>
      <c r="AE50" s="2" t="s">
        <v>58</v>
      </c>
      <c r="AF50" s="2"/>
      <c r="AG50" s="3" t="str">
        <f aca="false">IF(A50="","",IF(COUNTA(O50:R50)&lt;4,"Needs 4 options",IF(ISERROR(FIND(UPPER(S50),"ABCD"))+(LEN(S50)&lt;&gt;1),"Answer must be A-D",IF(OR(D50&lt;1,D50&gt;3),"Difficulty must be 1-3",IF(OR(N50="",T50=""),"Missing question or explanation",IF(COUNTBLANK(U50:X50)&lt;&gt;1,"Need 3 why-not texts",IF(INDEX(U50:X50,1,FIND(UPPER(S50),"ABCD"))&lt;&gt;"","Why-not filled for the answer",IF(AND(B50&lt;&gt;"live",B50&lt;&gt;"draft",B50&lt;&gt;"retired"),"Status must be live/draft/retired","OK"))))))))</f>
        <v>OK</v>
      </c>
    </row>
    <row r="51" customFormat="false" ht="46.25" hidden="false" customHeight="false" outlineLevel="0" collapsed="false">
      <c r="A51" s="2" t="s">
        <v>1017</v>
      </c>
      <c r="B51" s="2" t="s">
        <v>34</v>
      </c>
      <c r="C51" s="2" t="s">
        <v>179</v>
      </c>
      <c r="D51" s="2" t="n">
        <v>2</v>
      </c>
      <c r="E51" s="2" t="s">
        <v>1018</v>
      </c>
      <c r="F51" s="2" t="s">
        <v>223</v>
      </c>
      <c r="G51" s="2" t="s">
        <v>323</v>
      </c>
      <c r="H51" s="2" t="s">
        <v>1019</v>
      </c>
      <c r="I51" s="2" t="s">
        <v>1020</v>
      </c>
      <c r="J51" s="2" t="s">
        <v>1021</v>
      </c>
      <c r="K51" s="2" t="s">
        <v>1022</v>
      </c>
      <c r="L51" s="2" t="s">
        <v>1023</v>
      </c>
      <c r="M51" s="2" t="s">
        <v>65</v>
      </c>
      <c r="N51" s="2" t="s">
        <v>1024</v>
      </c>
      <c r="O51" s="2" t="s">
        <v>1025</v>
      </c>
      <c r="P51" s="2" t="s">
        <v>1026</v>
      </c>
      <c r="Q51" s="2" t="s">
        <v>1027</v>
      </c>
      <c r="R51" s="2" t="s">
        <v>1028</v>
      </c>
      <c r="S51" s="2" t="s">
        <v>50</v>
      </c>
      <c r="T51" s="2" t="s">
        <v>1029</v>
      </c>
      <c r="U51" s="2" t="s">
        <v>1030</v>
      </c>
      <c r="V51" s="2"/>
      <c r="W51" s="2" t="s">
        <v>1031</v>
      </c>
      <c r="X51" s="2" t="s">
        <v>1032</v>
      </c>
      <c r="Y51" s="2" t="s">
        <v>1033</v>
      </c>
      <c r="Z51" s="2" t="s">
        <v>1034</v>
      </c>
      <c r="AA51" s="2"/>
      <c r="AB51" s="2"/>
      <c r="AC51" s="2" t="s">
        <v>1035</v>
      </c>
      <c r="AD51" s="2"/>
      <c r="AE51" s="2" t="s">
        <v>58</v>
      </c>
      <c r="AF51" s="2"/>
      <c r="AG51" s="3" t="str">
        <f aca="false">IF(A51="","",IF(COUNTA(O51:R51)&lt;4,"Needs 4 options",IF(ISERROR(FIND(UPPER(S51),"ABCD"))+(LEN(S51)&lt;&gt;1),"Answer must be A-D",IF(OR(D51&lt;1,D51&gt;3),"Difficulty must be 1-3",IF(OR(N51="",T51=""),"Missing question or explanation",IF(COUNTBLANK(U51:X51)&lt;&gt;1,"Need 3 why-not texts",IF(INDEX(U51:X51,1,FIND(UPPER(S51),"ABCD"))&lt;&gt;"","Why-not filled for the answer",IF(AND(B51&lt;&gt;"live",B51&lt;&gt;"draft",B51&lt;&gt;"retired"),"Status must be live/draft/retired","OK"))))))))</f>
        <v>OK</v>
      </c>
    </row>
    <row r="52" customFormat="false" ht="102.2" hidden="false" customHeight="false" outlineLevel="0" collapsed="false">
      <c r="A52" s="2" t="s">
        <v>1036</v>
      </c>
      <c r="B52" s="2" t="s">
        <v>34</v>
      </c>
      <c r="C52" s="2" t="s">
        <v>179</v>
      </c>
      <c r="D52" s="2" t="n">
        <v>2</v>
      </c>
      <c r="E52" s="2" t="s">
        <v>1037</v>
      </c>
      <c r="F52" s="2" t="s">
        <v>223</v>
      </c>
      <c r="G52" s="2" t="s">
        <v>1038</v>
      </c>
      <c r="H52" s="2" t="s">
        <v>160</v>
      </c>
      <c r="I52" s="2" t="s">
        <v>1039</v>
      </c>
      <c r="J52" s="2" t="s">
        <v>1040</v>
      </c>
      <c r="K52" s="2" t="s">
        <v>1041</v>
      </c>
      <c r="L52" s="2" t="s">
        <v>1042</v>
      </c>
      <c r="M52" s="2" t="s">
        <v>1043</v>
      </c>
      <c r="N52" s="2" t="s">
        <v>1044</v>
      </c>
      <c r="O52" s="2" t="s">
        <v>1045</v>
      </c>
      <c r="P52" s="2" t="s">
        <v>1046</v>
      </c>
      <c r="Q52" s="2" t="s">
        <v>1047</v>
      </c>
      <c r="R52" s="2" t="s">
        <v>1048</v>
      </c>
      <c r="S52" s="2" t="s">
        <v>50</v>
      </c>
      <c r="T52" s="2" t="s">
        <v>1049</v>
      </c>
      <c r="U52" s="2" t="s">
        <v>1050</v>
      </c>
      <c r="V52" s="2"/>
      <c r="W52" s="2" t="s">
        <v>1051</v>
      </c>
      <c r="X52" s="2" t="s">
        <v>1052</v>
      </c>
      <c r="Y52" s="2" t="s">
        <v>1053</v>
      </c>
      <c r="Z52" s="2" t="s">
        <v>1054</v>
      </c>
      <c r="AA52" s="2"/>
      <c r="AB52" s="2"/>
      <c r="AC52" s="2" t="s">
        <v>1055</v>
      </c>
      <c r="AD52" s="2"/>
      <c r="AE52" s="2" t="s">
        <v>58</v>
      </c>
      <c r="AF52" s="2"/>
      <c r="AG52" s="3" t="str">
        <f aca="false">IF(A52="","",IF(COUNTA(O52:R52)&lt;4,"Needs 4 options",IF(ISERROR(FIND(UPPER(S52),"ABCD"))+(LEN(S52)&lt;&gt;1),"Answer must be A-D",IF(OR(D52&lt;1,D52&gt;3),"Difficulty must be 1-3",IF(OR(N52="",T52=""),"Missing question or explanation",IF(COUNTBLANK(U52:X52)&lt;&gt;1,"Need 3 why-not texts",IF(INDEX(U52:X52,1,FIND(UPPER(S52),"ABCD"))&lt;&gt;"","Why-not filled for the answer",IF(AND(B52&lt;&gt;"live",B52&lt;&gt;"draft",B52&lt;&gt;"retired"),"Status must be live/draft/retired","OK"))))))))</f>
        <v>OK</v>
      </c>
    </row>
    <row r="53" customFormat="false" ht="68.65" hidden="false" customHeight="false" outlineLevel="0" collapsed="false">
      <c r="A53" s="2" t="s">
        <v>1056</v>
      </c>
      <c r="B53" s="2" t="s">
        <v>34</v>
      </c>
      <c r="C53" s="2" t="s">
        <v>179</v>
      </c>
      <c r="D53" s="2" t="n">
        <v>2</v>
      </c>
      <c r="E53" s="2" t="s">
        <v>1057</v>
      </c>
      <c r="F53" s="2" t="s">
        <v>1058</v>
      </c>
      <c r="G53" s="2" t="s">
        <v>471</v>
      </c>
      <c r="H53" s="2" t="s">
        <v>158</v>
      </c>
      <c r="I53" s="2" t="s">
        <v>1059</v>
      </c>
      <c r="J53" s="2" t="s">
        <v>1060</v>
      </c>
      <c r="K53" s="2" t="s">
        <v>1061</v>
      </c>
      <c r="L53" s="2" t="s">
        <v>1062</v>
      </c>
      <c r="M53" s="2" t="s">
        <v>1063</v>
      </c>
      <c r="N53" s="2" t="s">
        <v>652</v>
      </c>
      <c r="O53" s="2" t="s">
        <v>1064</v>
      </c>
      <c r="P53" s="2" t="s">
        <v>1065</v>
      </c>
      <c r="Q53" s="2" t="s">
        <v>1066</v>
      </c>
      <c r="R53" s="2" t="s">
        <v>1067</v>
      </c>
      <c r="S53" s="2" t="s">
        <v>50</v>
      </c>
      <c r="T53" s="2" t="s">
        <v>1068</v>
      </c>
      <c r="U53" s="2" t="s">
        <v>1069</v>
      </c>
      <c r="V53" s="2"/>
      <c r="W53" s="2" t="s">
        <v>1070</v>
      </c>
      <c r="X53" s="2" t="s">
        <v>1071</v>
      </c>
      <c r="Y53" s="2" t="s">
        <v>1072</v>
      </c>
      <c r="Z53" s="2" t="s">
        <v>1073</v>
      </c>
      <c r="AA53" s="2"/>
      <c r="AB53" s="2"/>
      <c r="AC53" s="2" t="s">
        <v>1074</v>
      </c>
      <c r="AD53" s="2"/>
      <c r="AE53" s="2" t="s">
        <v>58</v>
      </c>
      <c r="AF53" s="2"/>
      <c r="AG53" s="3" t="str">
        <f aca="false">IF(A53="","",IF(COUNTA(O53:R53)&lt;4,"Needs 4 options",IF(ISERROR(FIND(UPPER(S53),"ABCD"))+(LEN(S53)&lt;&gt;1),"Answer must be A-D",IF(OR(D53&lt;1,D53&gt;3),"Difficulty must be 1-3",IF(OR(N53="",T53=""),"Missing question or explanation",IF(COUNTBLANK(U53:X53)&lt;&gt;1,"Need 3 why-not texts",IF(INDEX(U53:X53,1,FIND(UPPER(S53),"ABCD"))&lt;&gt;"","Why-not filled for the answer",IF(AND(B53&lt;&gt;"live",B53&lt;&gt;"draft",B53&lt;&gt;"retired"),"Status must be live/draft/retired","OK"))))))))</f>
        <v>OK</v>
      </c>
    </row>
    <row r="54" customFormat="false" ht="35.05" hidden="false" customHeight="false" outlineLevel="0" collapsed="false">
      <c r="A54" s="2" t="s">
        <v>1075</v>
      </c>
      <c r="B54" s="2" t="s">
        <v>34</v>
      </c>
      <c r="C54" s="2" t="s">
        <v>202</v>
      </c>
      <c r="D54" s="2" t="n">
        <v>2</v>
      </c>
      <c r="E54" s="2" t="s">
        <v>1076</v>
      </c>
      <c r="F54" s="2" t="s">
        <v>223</v>
      </c>
      <c r="G54" s="2" t="s">
        <v>1077</v>
      </c>
      <c r="H54" s="2" t="s">
        <v>384</v>
      </c>
      <c r="I54" s="2" t="s">
        <v>1078</v>
      </c>
      <c r="J54" s="2" t="s">
        <v>1079</v>
      </c>
      <c r="K54" s="2" t="s">
        <v>1080</v>
      </c>
      <c r="L54" s="2" t="s">
        <v>1081</v>
      </c>
      <c r="M54" s="2" t="s">
        <v>65</v>
      </c>
      <c r="N54" s="2" t="s">
        <v>986</v>
      </c>
      <c r="O54" s="2" t="s">
        <v>1082</v>
      </c>
      <c r="P54" s="2" t="s">
        <v>1083</v>
      </c>
      <c r="Q54" s="2" t="s">
        <v>1084</v>
      </c>
      <c r="R54" s="2" t="s">
        <v>1085</v>
      </c>
      <c r="S54" s="2" t="s">
        <v>50</v>
      </c>
      <c r="T54" s="2" t="s">
        <v>1086</v>
      </c>
      <c r="U54" s="2" t="s">
        <v>1087</v>
      </c>
      <c r="V54" s="2"/>
      <c r="W54" s="2" t="s">
        <v>1088</v>
      </c>
      <c r="X54" s="2" t="s">
        <v>1089</v>
      </c>
      <c r="Y54" s="2" t="s">
        <v>1090</v>
      </c>
      <c r="Z54" s="2" t="s">
        <v>1091</v>
      </c>
      <c r="AA54" s="2"/>
      <c r="AB54" s="2"/>
      <c r="AC54" s="2" t="s">
        <v>1092</v>
      </c>
      <c r="AD54" s="2"/>
      <c r="AE54" s="2" t="s">
        <v>58</v>
      </c>
      <c r="AF54" s="2"/>
      <c r="AG54" s="3" t="str">
        <f aca="false">IF(A54="","",IF(COUNTA(O54:R54)&lt;4,"Needs 4 options",IF(ISERROR(FIND(UPPER(S54),"ABCD"))+(LEN(S54)&lt;&gt;1),"Answer must be A-D",IF(OR(D54&lt;1,D54&gt;3),"Difficulty must be 1-3",IF(OR(N54="",T54=""),"Missing question or explanation",IF(COUNTBLANK(U54:X54)&lt;&gt;1,"Need 3 why-not texts",IF(INDEX(U54:X54,1,FIND(UPPER(S54),"ABCD"))&lt;&gt;"","Why-not filled for the answer",IF(AND(B54&lt;&gt;"live",B54&lt;&gt;"draft",B54&lt;&gt;"retired"),"Status must be live/draft/retired","OK"))))))))</f>
        <v>OK</v>
      </c>
    </row>
    <row r="55" customFormat="false" ht="57.45" hidden="false" customHeight="false" outlineLevel="0" collapsed="false">
      <c r="A55" s="2" t="s">
        <v>1093</v>
      </c>
      <c r="B55" s="2" t="s">
        <v>34</v>
      </c>
      <c r="C55" s="2" t="s">
        <v>202</v>
      </c>
      <c r="D55" s="2" t="n">
        <v>2</v>
      </c>
      <c r="E55" s="2" t="s">
        <v>1094</v>
      </c>
      <c r="F55" s="2" t="s">
        <v>223</v>
      </c>
      <c r="G55" s="2" t="s">
        <v>1095</v>
      </c>
      <c r="H55" s="2" t="s">
        <v>160</v>
      </c>
      <c r="I55" s="2" t="s">
        <v>1096</v>
      </c>
      <c r="J55" s="2" t="s">
        <v>1097</v>
      </c>
      <c r="K55" s="2" t="s">
        <v>1098</v>
      </c>
      <c r="L55" s="2" t="s">
        <v>549</v>
      </c>
      <c r="M55" s="2" t="s">
        <v>1099</v>
      </c>
      <c r="N55" s="2" t="s">
        <v>1100</v>
      </c>
      <c r="O55" s="2" t="s">
        <v>1101</v>
      </c>
      <c r="P55" s="2" t="s">
        <v>1102</v>
      </c>
      <c r="Q55" s="2" t="s">
        <v>1103</v>
      </c>
      <c r="R55" s="2" t="s">
        <v>1104</v>
      </c>
      <c r="S55" s="2" t="s">
        <v>50</v>
      </c>
      <c r="T55" s="2" t="s">
        <v>1105</v>
      </c>
      <c r="U55" s="2" t="s">
        <v>1106</v>
      </c>
      <c r="V55" s="2"/>
      <c r="W55" s="2" t="s">
        <v>1107</v>
      </c>
      <c r="X55" s="2" t="s">
        <v>1108</v>
      </c>
      <c r="Y55" s="2" t="s">
        <v>1109</v>
      </c>
      <c r="Z55" s="2" t="s">
        <v>1110</v>
      </c>
      <c r="AA55" s="2"/>
      <c r="AB55" s="2"/>
      <c r="AC55" s="2" t="s">
        <v>1111</v>
      </c>
      <c r="AD55" s="2"/>
      <c r="AE55" s="2" t="s">
        <v>58</v>
      </c>
      <c r="AF55" s="2"/>
      <c r="AG55" s="3" t="str">
        <f aca="false">IF(A55="","",IF(COUNTA(O55:R55)&lt;4,"Needs 4 options",IF(ISERROR(FIND(UPPER(S55),"ABCD"))+(LEN(S55)&lt;&gt;1),"Answer must be A-D",IF(OR(D55&lt;1,D55&gt;3),"Difficulty must be 1-3",IF(OR(N55="",T55=""),"Missing question or explanation",IF(COUNTBLANK(U55:X55)&lt;&gt;1,"Need 3 why-not texts",IF(INDEX(U55:X55,1,FIND(UPPER(S55),"ABCD"))&lt;&gt;"","Why-not filled for the answer",IF(AND(B55&lt;&gt;"live",B55&lt;&gt;"draft",B55&lt;&gt;"retired"),"Status must be live/draft/retired","OK"))))))))</f>
        <v>OK</v>
      </c>
    </row>
    <row r="56" customFormat="false" ht="46.25" hidden="false" customHeight="false" outlineLevel="0" collapsed="false">
      <c r="A56" s="2" t="s">
        <v>1112</v>
      </c>
      <c r="B56" s="2" t="s">
        <v>34</v>
      </c>
      <c r="C56" s="2" t="s">
        <v>202</v>
      </c>
      <c r="D56" s="2" t="n">
        <v>1</v>
      </c>
      <c r="E56" s="2" t="s">
        <v>1113</v>
      </c>
      <c r="F56" s="2" t="s">
        <v>37</v>
      </c>
      <c r="G56" s="2" t="s">
        <v>323</v>
      </c>
      <c r="H56" s="2" t="s">
        <v>545</v>
      </c>
      <c r="I56" s="2" t="s">
        <v>1114</v>
      </c>
      <c r="J56" s="2" t="s">
        <v>1115</v>
      </c>
      <c r="K56" s="2" t="s">
        <v>1116</v>
      </c>
      <c r="L56" s="2" t="s">
        <v>1117</v>
      </c>
      <c r="M56" s="2" t="s">
        <v>1118</v>
      </c>
      <c r="N56" s="2" t="s">
        <v>1119</v>
      </c>
      <c r="O56" s="2" t="s">
        <v>1120</v>
      </c>
      <c r="P56" s="2" t="s">
        <v>1121</v>
      </c>
      <c r="Q56" s="2" t="s">
        <v>1122</v>
      </c>
      <c r="R56" s="2" t="s">
        <v>1123</v>
      </c>
      <c r="S56" s="2" t="s">
        <v>50</v>
      </c>
      <c r="T56" s="2" t="s">
        <v>1124</v>
      </c>
      <c r="U56" s="2" t="s">
        <v>1125</v>
      </c>
      <c r="V56" s="2"/>
      <c r="W56" s="2" t="s">
        <v>1126</v>
      </c>
      <c r="X56" s="2" t="s">
        <v>1127</v>
      </c>
      <c r="Y56" s="2" t="s">
        <v>1128</v>
      </c>
      <c r="Z56" s="2" t="s">
        <v>1129</v>
      </c>
      <c r="AA56" s="2"/>
      <c r="AB56" s="2"/>
      <c r="AC56" s="2" t="s">
        <v>1130</v>
      </c>
      <c r="AD56" s="2"/>
      <c r="AE56" s="2" t="s">
        <v>58</v>
      </c>
      <c r="AF56" s="2"/>
      <c r="AG56" s="3" t="str">
        <f aca="false">IF(A56="","",IF(COUNTA(O56:R56)&lt;4,"Needs 4 options",IF(ISERROR(FIND(UPPER(S56),"ABCD"))+(LEN(S56)&lt;&gt;1),"Answer must be A-D",IF(OR(D56&lt;1,D56&gt;3),"Difficulty must be 1-3",IF(OR(N56="",T56=""),"Missing question or explanation",IF(COUNTBLANK(U56:X56)&lt;&gt;1,"Need 3 why-not texts",IF(INDEX(U56:X56,1,FIND(UPPER(S56),"ABCD"))&lt;&gt;"","Why-not filled for the answer",IF(AND(B56&lt;&gt;"live",B56&lt;&gt;"draft",B56&lt;&gt;"retired"),"Status must be live/draft/retired","OK"))))))))</f>
        <v>OK</v>
      </c>
    </row>
    <row r="57" customFormat="false" ht="35.05" hidden="false" customHeight="false" outlineLevel="0" collapsed="false">
      <c r="A57" s="2" t="s">
        <v>1131</v>
      </c>
      <c r="B57" s="2" t="s">
        <v>34</v>
      </c>
      <c r="C57" s="2" t="s">
        <v>202</v>
      </c>
      <c r="D57" s="2" t="n">
        <v>1</v>
      </c>
      <c r="E57" s="2" t="s">
        <v>1132</v>
      </c>
      <c r="F57" s="2" t="s">
        <v>223</v>
      </c>
      <c r="G57" s="2" t="s">
        <v>1133</v>
      </c>
      <c r="H57" s="2" t="s">
        <v>1134</v>
      </c>
      <c r="I57" s="2" t="s">
        <v>1135</v>
      </c>
      <c r="J57" s="2" t="s">
        <v>1136</v>
      </c>
      <c r="K57" s="2" t="s">
        <v>1137</v>
      </c>
      <c r="L57" s="2" t="s">
        <v>384</v>
      </c>
      <c r="M57" s="2" t="s">
        <v>1138</v>
      </c>
      <c r="N57" s="2" t="s">
        <v>1139</v>
      </c>
      <c r="O57" s="2" t="s">
        <v>1140</v>
      </c>
      <c r="P57" s="2" t="s">
        <v>1141</v>
      </c>
      <c r="Q57" s="2" t="s">
        <v>1142</v>
      </c>
      <c r="R57" s="2" t="s">
        <v>1143</v>
      </c>
      <c r="S57" s="2" t="s">
        <v>50</v>
      </c>
      <c r="T57" s="2" t="s">
        <v>1144</v>
      </c>
      <c r="U57" s="2" t="s">
        <v>1145</v>
      </c>
      <c r="V57" s="2"/>
      <c r="W57" s="2" t="s">
        <v>1146</v>
      </c>
      <c r="X57" s="2" t="s">
        <v>1147</v>
      </c>
      <c r="Y57" s="2" t="s">
        <v>1148</v>
      </c>
      <c r="Z57" s="2" t="s">
        <v>1149</v>
      </c>
      <c r="AA57" s="2"/>
      <c r="AB57" s="2"/>
      <c r="AC57" s="2" t="s">
        <v>1150</v>
      </c>
      <c r="AD57" s="2"/>
      <c r="AE57" s="2" t="s">
        <v>58</v>
      </c>
      <c r="AF57" s="2"/>
      <c r="AG57" s="3" t="str">
        <f aca="false">IF(A57="","",IF(COUNTA(O57:R57)&lt;4,"Needs 4 options",IF(ISERROR(FIND(UPPER(S57),"ABCD"))+(LEN(S57)&lt;&gt;1),"Answer must be A-D",IF(OR(D57&lt;1,D57&gt;3),"Difficulty must be 1-3",IF(OR(N57="",T57=""),"Missing question or explanation",IF(COUNTBLANK(U57:X57)&lt;&gt;1,"Need 3 why-not texts",IF(INDEX(U57:X57,1,FIND(UPPER(S57),"ABCD"))&lt;&gt;"","Why-not filled for the answer",IF(AND(B57&lt;&gt;"live",B57&lt;&gt;"draft",B57&lt;&gt;"retired"),"Status must be live/draft/retired","OK"))))))))</f>
        <v>OK</v>
      </c>
    </row>
    <row r="58" customFormat="false" ht="46.25" hidden="false" customHeight="false" outlineLevel="0" collapsed="false">
      <c r="A58" s="2" t="s">
        <v>1151</v>
      </c>
      <c r="B58" s="2" t="s">
        <v>34</v>
      </c>
      <c r="C58" s="2" t="s">
        <v>202</v>
      </c>
      <c r="D58" s="2" t="n">
        <v>2</v>
      </c>
      <c r="E58" s="2" t="s">
        <v>1152</v>
      </c>
      <c r="F58" s="2" t="s">
        <v>223</v>
      </c>
      <c r="G58" s="2" t="s">
        <v>323</v>
      </c>
      <c r="H58" s="2" t="s">
        <v>160</v>
      </c>
      <c r="I58" s="2" t="s">
        <v>1153</v>
      </c>
      <c r="J58" s="2" t="s">
        <v>1154</v>
      </c>
      <c r="K58" s="2" t="s">
        <v>1155</v>
      </c>
      <c r="L58" s="2" t="s">
        <v>1156</v>
      </c>
      <c r="M58" s="2" t="s">
        <v>1157</v>
      </c>
      <c r="N58" s="2" t="s">
        <v>1158</v>
      </c>
      <c r="O58" s="2" t="s">
        <v>1159</v>
      </c>
      <c r="P58" s="2" t="s">
        <v>1160</v>
      </c>
      <c r="Q58" s="2" t="s">
        <v>1161</v>
      </c>
      <c r="R58" s="2" t="s">
        <v>1162</v>
      </c>
      <c r="S58" s="2" t="s">
        <v>50</v>
      </c>
      <c r="T58" s="2" t="s">
        <v>1163</v>
      </c>
      <c r="U58" s="2" t="s">
        <v>1164</v>
      </c>
      <c r="V58" s="2"/>
      <c r="W58" s="2" t="s">
        <v>1165</v>
      </c>
      <c r="X58" s="2" t="s">
        <v>1166</v>
      </c>
      <c r="Y58" s="2" t="s">
        <v>1167</v>
      </c>
      <c r="Z58" s="2" t="s">
        <v>1168</v>
      </c>
      <c r="AA58" s="2"/>
      <c r="AB58" s="2"/>
      <c r="AC58" s="2" t="s">
        <v>1169</v>
      </c>
      <c r="AD58" s="2"/>
      <c r="AE58" s="2" t="s">
        <v>58</v>
      </c>
      <c r="AF58" s="2"/>
      <c r="AG58" s="3" t="str">
        <f aca="false">IF(A58="","",IF(COUNTA(O58:R58)&lt;4,"Needs 4 options",IF(ISERROR(FIND(UPPER(S58),"ABCD"))+(LEN(S58)&lt;&gt;1),"Answer must be A-D",IF(OR(D58&lt;1,D58&gt;3),"Difficulty must be 1-3",IF(OR(N58="",T58=""),"Missing question or explanation",IF(COUNTBLANK(U58:X58)&lt;&gt;1,"Need 3 why-not texts",IF(INDEX(U58:X58,1,FIND(UPPER(S58),"ABCD"))&lt;&gt;"","Why-not filled for the answer",IF(AND(B58&lt;&gt;"live",B58&lt;&gt;"draft",B58&lt;&gt;"retired"),"Status must be live/draft/retired","OK"))))))))</f>
        <v>OK</v>
      </c>
    </row>
    <row r="59" customFormat="false" ht="57.45" hidden="false" customHeight="false" outlineLevel="0" collapsed="false">
      <c r="A59" s="2" t="s">
        <v>1170</v>
      </c>
      <c r="B59" s="2" t="s">
        <v>34</v>
      </c>
      <c r="C59" s="2" t="s">
        <v>202</v>
      </c>
      <c r="D59" s="2" t="n">
        <v>2</v>
      </c>
      <c r="E59" s="2" t="s">
        <v>1171</v>
      </c>
      <c r="F59" s="2" t="s">
        <v>223</v>
      </c>
      <c r="G59" s="2" t="s">
        <v>264</v>
      </c>
      <c r="H59" s="2" t="s">
        <v>160</v>
      </c>
      <c r="I59" s="2" t="s">
        <v>1172</v>
      </c>
      <c r="J59" s="2" t="s">
        <v>1173</v>
      </c>
      <c r="K59" s="2" t="s">
        <v>1174</v>
      </c>
      <c r="L59" s="2" t="s">
        <v>549</v>
      </c>
      <c r="M59" s="2" t="s">
        <v>1175</v>
      </c>
      <c r="N59" s="2" t="s">
        <v>1176</v>
      </c>
      <c r="O59" s="2" t="s">
        <v>1177</v>
      </c>
      <c r="P59" s="2" t="s">
        <v>1178</v>
      </c>
      <c r="Q59" s="2" t="s">
        <v>1179</v>
      </c>
      <c r="R59" s="2" t="s">
        <v>1180</v>
      </c>
      <c r="S59" s="2" t="s">
        <v>50</v>
      </c>
      <c r="T59" s="2" t="s">
        <v>1181</v>
      </c>
      <c r="U59" s="2" t="s">
        <v>1182</v>
      </c>
      <c r="V59" s="2"/>
      <c r="W59" s="2" t="s">
        <v>1183</v>
      </c>
      <c r="X59" s="2" t="s">
        <v>1184</v>
      </c>
      <c r="Y59" s="2" t="s">
        <v>1185</v>
      </c>
      <c r="Z59" s="2" t="s">
        <v>1186</v>
      </c>
      <c r="AA59" s="2"/>
      <c r="AB59" s="2"/>
      <c r="AC59" s="2" t="s">
        <v>1187</v>
      </c>
      <c r="AD59" s="2"/>
      <c r="AE59" s="2" t="s">
        <v>58</v>
      </c>
      <c r="AF59" s="2"/>
      <c r="AG59" s="3" t="str">
        <f aca="false">IF(A59="","",IF(COUNTA(O59:R59)&lt;4,"Needs 4 options",IF(ISERROR(FIND(UPPER(S59),"ABCD"))+(LEN(S59)&lt;&gt;1),"Answer must be A-D",IF(OR(D59&lt;1,D59&gt;3),"Difficulty must be 1-3",IF(OR(N59="",T59=""),"Missing question or explanation",IF(COUNTBLANK(U59:X59)&lt;&gt;1,"Need 3 why-not texts",IF(INDEX(U59:X59,1,FIND(UPPER(S59),"ABCD"))&lt;&gt;"","Why-not filled for the answer",IF(AND(B59&lt;&gt;"live",B59&lt;&gt;"draft",B59&lt;&gt;"retired"),"Status must be live/draft/retired","OK"))))))))</f>
        <v>OK</v>
      </c>
    </row>
    <row r="60" customFormat="false" ht="113.4" hidden="false" customHeight="false" outlineLevel="0" collapsed="false">
      <c r="A60" s="2" t="s">
        <v>1188</v>
      </c>
      <c r="B60" s="2" t="s">
        <v>34</v>
      </c>
      <c r="C60" s="2" t="s">
        <v>202</v>
      </c>
      <c r="D60" s="2" t="n">
        <v>1</v>
      </c>
      <c r="E60" s="2" t="s">
        <v>1189</v>
      </c>
      <c r="F60" s="2" t="s">
        <v>223</v>
      </c>
      <c r="G60" s="2" t="s">
        <v>1190</v>
      </c>
      <c r="H60" s="2" t="s">
        <v>1191</v>
      </c>
      <c r="I60" s="2" t="s">
        <v>65</v>
      </c>
      <c r="J60" s="2" t="s">
        <v>549</v>
      </c>
      <c r="K60" s="2" t="s">
        <v>1192</v>
      </c>
      <c r="L60" s="2" t="s">
        <v>937</v>
      </c>
      <c r="M60" s="2" t="s">
        <v>1193</v>
      </c>
      <c r="N60" s="2" t="s">
        <v>1194</v>
      </c>
      <c r="O60" s="2" t="s">
        <v>1195</v>
      </c>
      <c r="P60" s="2" t="s">
        <v>1196</v>
      </c>
      <c r="Q60" s="2" t="s">
        <v>1197</v>
      </c>
      <c r="R60" s="2" t="s">
        <v>1198</v>
      </c>
      <c r="S60" s="2" t="s">
        <v>50</v>
      </c>
      <c r="T60" s="2" t="s">
        <v>1199</v>
      </c>
      <c r="U60" s="2" t="s">
        <v>1200</v>
      </c>
      <c r="V60" s="2"/>
      <c r="W60" s="2" t="s">
        <v>1201</v>
      </c>
      <c r="X60" s="2" t="s">
        <v>1202</v>
      </c>
      <c r="Y60" s="2" t="s">
        <v>1203</v>
      </c>
      <c r="Z60" s="2" t="s">
        <v>1204</v>
      </c>
      <c r="AA60" s="2"/>
      <c r="AB60" s="2"/>
      <c r="AC60" s="2" t="s">
        <v>1205</v>
      </c>
      <c r="AD60" s="2"/>
      <c r="AE60" s="2" t="s">
        <v>58</v>
      </c>
      <c r="AF60" s="2"/>
      <c r="AG60" s="3" t="str">
        <f aca="false">IF(A60="","",IF(COUNTA(O60:R60)&lt;4,"Needs 4 options",IF(ISERROR(FIND(UPPER(S60),"ABCD"))+(LEN(S60)&lt;&gt;1),"Answer must be A-D",IF(OR(D60&lt;1,D60&gt;3),"Difficulty must be 1-3",IF(OR(N60="",T60=""),"Missing question or explanation",IF(COUNTBLANK(U60:X60)&lt;&gt;1,"Need 3 why-not texts",IF(INDEX(U60:X60,1,FIND(UPPER(S60),"ABCD"))&lt;&gt;"","Why-not filled for the answer",IF(AND(B60&lt;&gt;"live",B60&lt;&gt;"draft",B60&lt;&gt;"retired"),"Status must be live/draft/retired","OK"))))))))</f>
        <v>OK</v>
      </c>
    </row>
    <row r="61" customFormat="false" ht="35.05" hidden="false" customHeight="false" outlineLevel="0" collapsed="false">
      <c r="A61" s="2" t="s">
        <v>1206</v>
      </c>
      <c r="B61" s="2" t="s">
        <v>34</v>
      </c>
      <c r="C61" s="2" t="s">
        <v>202</v>
      </c>
      <c r="D61" s="2" t="n">
        <v>2</v>
      </c>
      <c r="E61" s="2" t="s">
        <v>1207</v>
      </c>
      <c r="F61" s="2" t="s">
        <v>1208</v>
      </c>
      <c r="G61" s="2" t="s">
        <v>1209</v>
      </c>
      <c r="H61" s="2" t="s">
        <v>1210</v>
      </c>
      <c r="I61" s="2" t="s">
        <v>1211</v>
      </c>
      <c r="J61" s="2" t="s">
        <v>1212</v>
      </c>
      <c r="K61" s="2" t="s">
        <v>1213</v>
      </c>
      <c r="L61" s="2" t="s">
        <v>1214</v>
      </c>
      <c r="M61" s="2" t="s">
        <v>1215</v>
      </c>
      <c r="N61" s="2" t="s">
        <v>652</v>
      </c>
      <c r="O61" s="2" t="s">
        <v>1216</v>
      </c>
      <c r="P61" s="2" t="s">
        <v>1217</v>
      </c>
      <c r="Q61" s="2" t="s">
        <v>1218</v>
      </c>
      <c r="R61" s="2" t="s">
        <v>1219</v>
      </c>
      <c r="S61" s="2" t="s">
        <v>50</v>
      </c>
      <c r="T61" s="2" t="s">
        <v>1220</v>
      </c>
      <c r="U61" s="2" t="s">
        <v>1221</v>
      </c>
      <c r="V61" s="2"/>
      <c r="W61" s="2" t="s">
        <v>1222</v>
      </c>
      <c r="X61" s="2" t="s">
        <v>1223</v>
      </c>
      <c r="Y61" s="2" t="s">
        <v>1224</v>
      </c>
      <c r="Z61" s="2" t="s">
        <v>1225</v>
      </c>
      <c r="AA61" s="2"/>
      <c r="AB61" s="2"/>
      <c r="AC61" s="2" t="s">
        <v>1226</v>
      </c>
      <c r="AD61" s="2"/>
      <c r="AE61" s="2" t="s">
        <v>58</v>
      </c>
      <c r="AF61" s="2"/>
      <c r="AG61" s="3" t="str">
        <f aca="false">IF(A61="","",IF(COUNTA(O61:R61)&lt;4,"Needs 4 options",IF(ISERROR(FIND(UPPER(S61),"ABCD"))+(LEN(S61)&lt;&gt;1),"Answer must be A-D",IF(OR(D61&lt;1,D61&gt;3),"Difficulty must be 1-3",IF(OR(N61="",T61=""),"Missing question or explanation",IF(COUNTBLANK(U61:X61)&lt;&gt;1,"Need 3 why-not texts",IF(INDEX(U61:X61,1,FIND(UPPER(S61),"ABCD"))&lt;&gt;"","Why-not filled for the answer",IF(AND(B61&lt;&gt;"live",B61&lt;&gt;"draft",B61&lt;&gt;"retired"),"Status must be live/draft/retired","OK"))))))))</f>
        <v>OK</v>
      </c>
    </row>
    <row r="62" customFormat="false" ht="68.65" hidden="false" customHeight="false" outlineLevel="0" collapsed="false">
      <c r="A62" s="2" t="s">
        <v>1227</v>
      </c>
      <c r="B62" s="2" t="s">
        <v>34</v>
      </c>
      <c r="C62" s="2" t="s">
        <v>1228</v>
      </c>
      <c r="D62" s="2" t="n">
        <v>2</v>
      </c>
      <c r="E62" s="2" t="s">
        <v>1229</v>
      </c>
      <c r="F62" s="2" t="s">
        <v>937</v>
      </c>
      <c r="G62" s="2" t="s">
        <v>1230</v>
      </c>
      <c r="H62" s="2" t="s">
        <v>160</v>
      </c>
      <c r="I62" s="2" t="s">
        <v>1231</v>
      </c>
      <c r="J62" s="2" t="s">
        <v>549</v>
      </c>
      <c r="K62" s="2" t="s">
        <v>1232</v>
      </c>
      <c r="L62" s="2" t="s">
        <v>1097</v>
      </c>
      <c r="M62" s="2" t="s">
        <v>1098</v>
      </c>
      <c r="N62" s="2" t="s">
        <v>1233</v>
      </c>
      <c r="O62" s="2" t="s">
        <v>1234</v>
      </c>
      <c r="P62" s="2" t="s">
        <v>1235</v>
      </c>
      <c r="Q62" s="2" t="s">
        <v>1236</v>
      </c>
      <c r="R62" s="2" t="s">
        <v>1237</v>
      </c>
      <c r="S62" s="2" t="s">
        <v>50</v>
      </c>
      <c r="T62" s="2" t="s">
        <v>1238</v>
      </c>
      <c r="U62" s="2" t="s">
        <v>1239</v>
      </c>
      <c r="V62" s="2"/>
      <c r="W62" s="2" t="s">
        <v>1240</v>
      </c>
      <c r="X62" s="2" t="s">
        <v>1241</v>
      </c>
      <c r="Y62" s="2" t="s">
        <v>1242</v>
      </c>
      <c r="Z62" s="2" t="s">
        <v>1243</v>
      </c>
      <c r="AA62" s="2"/>
      <c r="AB62" s="2"/>
      <c r="AC62" s="2" t="s">
        <v>1244</v>
      </c>
      <c r="AD62" s="2"/>
      <c r="AE62" s="2" t="s">
        <v>58</v>
      </c>
      <c r="AF62" s="2"/>
      <c r="AG62" s="3" t="str">
        <f aca="false">IF(A62="","",IF(COUNTA(O62:R62)&lt;4,"Needs 4 options",IF(ISERROR(FIND(UPPER(S62),"ABCD"))+(LEN(S62)&lt;&gt;1),"Answer must be A-D",IF(OR(D62&lt;1,D62&gt;3),"Difficulty must be 1-3",IF(OR(N62="",T62=""),"Missing question or explanation",IF(COUNTBLANK(U62:X62)&lt;&gt;1,"Need 3 why-not texts",IF(INDEX(U62:X62,1,FIND(UPPER(S62),"ABCD"))&lt;&gt;"","Why-not filled for the answer",IF(AND(B62&lt;&gt;"live",B62&lt;&gt;"draft",B62&lt;&gt;"retired"),"Status must be live/draft/retired","OK"))))))))</f>
        <v>OK</v>
      </c>
    </row>
    <row r="63" customFormat="false" ht="68.65" hidden="false" customHeight="false" outlineLevel="0" collapsed="false">
      <c r="A63" s="2" t="s">
        <v>1245</v>
      </c>
      <c r="B63" s="2" t="s">
        <v>34</v>
      </c>
      <c r="C63" s="2" t="s">
        <v>1228</v>
      </c>
      <c r="D63" s="2" t="n">
        <v>2</v>
      </c>
      <c r="E63" s="2" t="s">
        <v>1246</v>
      </c>
      <c r="F63" s="2" t="s">
        <v>223</v>
      </c>
      <c r="G63" s="2" t="s">
        <v>1247</v>
      </c>
      <c r="H63" s="2" t="s">
        <v>246</v>
      </c>
      <c r="I63" s="2" t="s">
        <v>1246</v>
      </c>
      <c r="J63" s="2" t="s">
        <v>1248</v>
      </c>
      <c r="K63" s="2" t="s">
        <v>1249</v>
      </c>
      <c r="L63" s="2" t="s">
        <v>103</v>
      </c>
      <c r="M63" s="2" t="s">
        <v>1250</v>
      </c>
      <c r="N63" s="2" t="s">
        <v>1251</v>
      </c>
      <c r="O63" s="2" t="s">
        <v>1252</v>
      </c>
      <c r="P63" s="2" t="s">
        <v>1253</v>
      </c>
      <c r="Q63" s="2" t="s">
        <v>1254</v>
      </c>
      <c r="R63" s="2" t="s">
        <v>1255</v>
      </c>
      <c r="S63" s="2" t="s">
        <v>50</v>
      </c>
      <c r="T63" s="2" t="s">
        <v>1256</v>
      </c>
      <c r="U63" s="2" t="s">
        <v>1257</v>
      </c>
      <c r="V63" s="2"/>
      <c r="W63" s="2" t="s">
        <v>1258</v>
      </c>
      <c r="X63" s="2" t="s">
        <v>1259</v>
      </c>
      <c r="Y63" s="2" t="s">
        <v>1260</v>
      </c>
      <c r="Z63" s="2" t="s">
        <v>1261</v>
      </c>
      <c r="AA63" s="2"/>
      <c r="AB63" s="2"/>
      <c r="AC63" s="2" t="s">
        <v>1262</v>
      </c>
      <c r="AD63" s="2"/>
      <c r="AE63" s="2" t="s">
        <v>58</v>
      </c>
      <c r="AF63" s="2"/>
      <c r="AG63" s="3" t="str">
        <f aca="false">IF(A63="","",IF(COUNTA(O63:R63)&lt;4,"Needs 4 options",IF(ISERROR(FIND(UPPER(S63),"ABCD"))+(LEN(S63)&lt;&gt;1),"Answer must be A-D",IF(OR(D63&lt;1,D63&gt;3),"Difficulty must be 1-3",IF(OR(N63="",T63=""),"Missing question or explanation",IF(COUNTBLANK(U63:X63)&lt;&gt;1,"Need 3 why-not texts",IF(INDEX(U63:X63,1,FIND(UPPER(S63),"ABCD"))&lt;&gt;"","Why-not filled for the answer",IF(AND(B63&lt;&gt;"live",B63&lt;&gt;"draft",B63&lt;&gt;"retired"),"Status must be live/draft/retired","OK"))))))))</f>
        <v>OK</v>
      </c>
    </row>
    <row r="64" customFormat="false" ht="57.45" hidden="false" customHeight="false" outlineLevel="0" collapsed="false">
      <c r="A64" s="2" t="s">
        <v>1263</v>
      </c>
      <c r="B64" s="2" t="s">
        <v>34</v>
      </c>
      <c r="C64" s="2" t="s">
        <v>1228</v>
      </c>
      <c r="D64" s="2" t="n">
        <v>3</v>
      </c>
      <c r="E64" s="2" t="s">
        <v>1264</v>
      </c>
      <c r="F64" s="2" t="s">
        <v>937</v>
      </c>
      <c r="G64" s="2" t="s">
        <v>1265</v>
      </c>
      <c r="H64" s="2" t="s">
        <v>1266</v>
      </c>
      <c r="I64" s="2" t="s">
        <v>1267</v>
      </c>
      <c r="J64" s="2" t="s">
        <v>1268</v>
      </c>
      <c r="K64" s="2" t="s">
        <v>1269</v>
      </c>
      <c r="L64" s="2" t="s">
        <v>549</v>
      </c>
      <c r="M64" s="2" t="s">
        <v>1270</v>
      </c>
      <c r="N64" s="2" t="s">
        <v>1271</v>
      </c>
      <c r="O64" s="2" t="s">
        <v>1272</v>
      </c>
      <c r="P64" s="2" t="s">
        <v>1273</v>
      </c>
      <c r="Q64" s="2" t="s">
        <v>1274</v>
      </c>
      <c r="R64" s="2" t="s">
        <v>1275</v>
      </c>
      <c r="S64" s="2" t="s">
        <v>111</v>
      </c>
      <c r="T64" s="2" t="s">
        <v>1276</v>
      </c>
      <c r="U64" s="2"/>
      <c r="V64" s="2" t="s">
        <v>1277</v>
      </c>
      <c r="W64" s="2" t="s">
        <v>1278</v>
      </c>
      <c r="X64" s="2" t="s">
        <v>1279</v>
      </c>
      <c r="Y64" s="2" t="s">
        <v>1280</v>
      </c>
      <c r="Z64" s="2" t="s">
        <v>1281</v>
      </c>
      <c r="AA64" s="2"/>
      <c r="AB64" s="2"/>
      <c r="AC64" s="2" t="s">
        <v>1282</v>
      </c>
      <c r="AD64" s="2"/>
      <c r="AE64" s="2" t="s">
        <v>58</v>
      </c>
      <c r="AF64" s="2"/>
      <c r="AG64" s="3" t="str">
        <f aca="false">IF(A64="","",IF(COUNTA(O64:R64)&lt;4,"Needs 4 options",IF(ISERROR(FIND(UPPER(S64),"ABCD"))+(LEN(S64)&lt;&gt;1),"Answer must be A-D",IF(OR(D64&lt;1,D64&gt;3),"Difficulty must be 1-3",IF(OR(N64="",T64=""),"Missing question or explanation",IF(COUNTBLANK(U64:X64)&lt;&gt;1,"Need 3 why-not texts",IF(INDEX(U64:X64,1,FIND(UPPER(S64),"ABCD"))&lt;&gt;"","Why-not filled for the answer",IF(AND(B64&lt;&gt;"live",B64&lt;&gt;"draft",B64&lt;&gt;"retired"),"Status must be live/draft/retired","OK"))))))))</f>
        <v>OK</v>
      </c>
    </row>
    <row r="65" customFormat="false" ht="57.45" hidden="false" customHeight="false" outlineLevel="0" collapsed="false">
      <c r="A65" s="2" t="s">
        <v>1283</v>
      </c>
      <c r="B65" s="2" t="s">
        <v>34</v>
      </c>
      <c r="C65" s="2" t="s">
        <v>1228</v>
      </c>
      <c r="D65" s="2" t="n">
        <v>1</v>
      </c>
      <c r="E65" s="2" t="s">
        <v>1284</v>
      </c>
      <c r="F65" s="2" t="s">
        <v>37</v>
      </c>
      <c r="G65" s="2" t="s">
        <v>1285</v>
      </c>
      <c r="H65" s="2" t="s">
        <v>1286</v>
      </c>
      <c r="I65" s="2" t="s">
        <v>1287</v>
      </c>
      <c r="J65" s="2" t="s">
        <v>1288</v>
      </c>
      <c r="K65" s="2" t="s">
        <v>1289</v>
      </c>
      <c r="L65" s="2" t="s">
        <v>937</v>
      </c>
      <c r="M65" s="2" t="s">
        <v>1290</v>
      </c>
      <c r="N65" s="2" t="s">
        <v>1291</v>
      </c>
      <c r="O65" s="2" t="s">
        <v>1292</v>
      </c>
      <c r="P65" s="2" t="s">
        <v>1293</v>
      </c>
      <c r="Q65" s="2" t="s">
        <v>1294</v>
      </c>
      <c r="R65" s="2" t="s">
        <v>1295</v>
      </c>
      <c r="S65" s="2" t="s">
        <v>50</v>
      </c>
      <c r="T65" s="2" t="s">
        <v>1296</v>
      </c>
      <c r="U65" s="2" t="s">
        <v>1297</v>
      </c>
      <c r="V65" s="2"/>
      <c r="W65" s="2" t="s">
        <v>1298</v>
      </c>
      <c r="X65" s="2" t="s">
        <v>1299</v>
      </c>
      <c r="Y65" s="2" t="s">
        <v>1300</v>
      </c>
      <c r="Z65" s="2" t="s">
        <v>1301</v>
      </c>
      <c r="AA65" s="2"/>
      <c r="AB65" s="2"/>
      <c r="AC65" s="2" t="s">
        <v>1302</v>
      </c>
      <c r="AD65" s="2"/>
      <c r="AE65" s="2" t="s">
        <v>58</v>
      </c>
      <c r="AF65" s="2"/>
      <c r="AG65" s="3" t="str">
        <f aca="false">IF(A65="","",IF(COUNTA(O65:R65)&lt;4,"Needs 4 options",IF(ISERROR(FIND(UPPER(S65),"ABCD"))+(LEN(S65)&lt;&gt;1),"Answer must be A-D",IF(OR(D65&lt;1,D65&gt;3),"Difficulty must be 1-3",IF(OR(N65="",T65=""),"Missing question or explanation",IF(COUNTBLANK(U65:X65)&lt;&gt;1,"Need 3 why-not texts",IF(INDEX(U65:X65,1,FIND(UPPER(S65),"ABCD"))&lt;&gt;"","Why-not filled for the answer",IF(AND(B65&lt;&gt;"live",B65&lt;&gt;"draft",B65&lt;&gt;"retired"),"Status must be live/draft/retired","OK"))))))))</f>
        <v>OK</v>
      </c>
    </row>
    <row r="66" customFormat="false" ht="57.45" hidden="false" customHeight="false" outlineLevel="0" collapsed="false">
      <c r="A66" s="2" t="s">
        <v>1303</v>
      </c>
      <c r="B66" s="2" t="s">
        <v>34</v>
      </c>
      <c r="C66" s="2" t="s">
        <v>1304</v>
      </c>
      <c r="D66" s="2" t="n">
        <v>1</v>
      </c>
      <c r="E66" s="2" t="s">
        <v>1305</v>
      </c>
      <c r="F66" s="2" t="s">
        <v>37</v>
      </c>
      <c r="G66" s="2" t="s">
        <v>1306</v>
      </c>
      <c r="H66" s="2" t="s">
        <v>549</v>
      </c>
      <c r="I66" s="2" t="s">
        <v>1307</v>
      </c>
      <c r="J66" s="2" t="s">
        <v>1308</v>
      </c>
      <c r="K66" s="2" t="s">
        <v>1309</v>
      </c>
      <c r="L66" s="2" t="s">
        <v>687</v>
      </c>
      <c r="M66" s="2" t="s">
        <v>1310</v>
      </c>
      <c r="N66" s="2" t="s">
        <v>1311</v>
      </c>
      <c r="O66" s="2" t="s">
        <v>1312</v>
      </c>
      <c r="P66" s="2" t="s">
        <v>1313</v>
      </c>
      <c r="Q66" s="2" t="s">
        <v>1314</v>
      </c>
      <c r="R66" s="2" t="s">
        <v>1315</v>
      </c>
      <c r="S66" s="2" t="s">
        <v>111</v>
      </c>
      <c r="T66" s="2" t="s">
        <v>1316</v>
      </c>
      <c r="U66" s="2"/>
      <c r="V66" s="2" t="s">
        <v>1317</v>
      </c>
      <c r="W66" s="2" t="s">
        <v>1318</v>
      </c>
      <c r="X66" s="2" t="s">
        <v>1319</v>
      </c>
      <c r="Y66" s="2" t="s">
        <v>1320</v>
      </c>
      <c r="Z66" s="2" t="s">
        <v>1321</v>
      </c>
      <c r="AA66" s="2"/>
      <c r="AB66" s="2"/>
      <c r="AC66" s="2" t="s">
        <v>1322</v>
      </c>
      <c r="AD66" s="2"/>
      <c r="AE66" s="2" t="s">
        <v>58</v>
      </c>
      <c r="AF66" s="2"/>
      <c r="AG66" s="3" t="str">
        <f aca="false">IF(A66="","",IF(COUNTA(O66:R66)&lt;4,"Needs 4 options",IF(ISERROR(FIND(UPPER(S66),"ABCD"))+(LEN(S66)&lt;&gt;1),"Answer must be A-D",IF(OR(D66&lt;1,D66&gt;3),"Difficulty must be 1-3",IF(OR(N66="",T66=""),"Missing question or explanation",IF(COUNTBLANK(U66:X66)&lt;&gt;1,"Need 3 why-not texts",IF(INDEX(U66:X66,1,FIND(UPPER(S66),"ABCD"))&lt;&gt;"","Why-not filled for the answer",IF(AND(B66&lt;&gt;"live",B66&lt;&gt;"draft",B66&lt;&gt;"retired"),"Status must be live/draft/retired","OK"))))))))</f>
        <v>OK</v>
      </c>
    </row>
    <row r="67" customFormat="false" ht="57.45" hidden="false" customHeight="false" outlineLevel="0" collapsed="false">
      <c r="A67" s="2" t="s">
        <v>1323</v>
      </c>
      <c r="B67" s="2" t="s">
        <v>34</v>
      </c>
      <c r="C67" s="2" t="s">
        <v>1304</v>
      </c>
      <c r="D67" s="2" t="n">
        <v>2</v>
      </c>
      <c r="E67" s="2" t="s">
        <v>1324</v>
      </c>
      <c r="F67" s="2" t="s">
        <v>37</v>
      </c>
      <c r="G67" s="2" t="s">
        <v>1325</v>
      </c>
      <c r="H67" s="2" t="s">
        <v>922</v>
      </c>
      <c r="I67" s="2" t="s">
        <v>1326</v>
      </c>
      <c r="J67" s="2" t="s">
        <v>1327</v>
      </c>
      <c r="K67" s="2" t="s">
        <v>1328</v>
      </c>
      <c r="L67" s="2" t="s">
        <v>549</v>
      </c>
      <c r="M67" s="2" t="s">
        <v>1329</v>
      </c>
      <c r="N67" s="2" t="s">
        <v>1311</v>
      </c>
      <c r="O67" s="2" t="s">
        <v>1330</v>
      </c>
      <c r="P67" s="2" t="s">
        <v>1331</v>
      </c>
      <c r="Q67" s="2" t="s">
        <v>1332</v>
      </c>
      <c r="R67" s="2" t="s">
        <v>1333</v>
      </c>
      <c r="S67" s="2" t="s">
        <v>50</v>
      </c>
      <c r="T67" s="2" t="s">
        <v>1334</v>
      </c>
      <c r="U67" s="2" t="s">
        <v>1335</v>
      </c>
      <c r="V67" s="2"/>
      <c r="W67" s="2" t="s">
        <v>1336</v>
      </c>
      <c r="X67" s="2" t="s">
        <v>1337</v>
      </c>
      <c r="Y67" s="2" t="s">
        <v>1338</v>
      </c>
      <c r="Z67" s="2" t="s">
        <v>1339</v>
      </c>
      <c r="AA67" s="2"/>
      <c r="AB67" s="2"/>
      <c r="AC67" s="2" t="s">
        <v>1340</v>
      </c>
      <c r="AD67" s="2"/>
      <c r="AE67" s="2" t="s">
        <v>58</v>
      </c>
      <c r="AF67" s="2"/>
      <c r="AG67" s="3" t="str">
        <f aca="false">IF(A67="","",IF(COUNTA(O67:R67)&lt;4,"Needs 4 options",IF(ISERROR(FIND(UPPER(S67),"ABCD"))+(LEN(S67)&lt;&gt;1),"Answer must be A-D",IF(OR(D67&lt;1,D67&gt;3),"Difficulty must be 1-3",IF(OR(N67="",T67=""),"Missing question or explanation",IF(COUNTBLANK(U67:X67)&lt;&gt;1,"Need 3 why-not texts",IF(INDEX(U67:X67,1,FIND(UPPER(S67),"ABCD"))&lt;&gt;"","Why-not filled for the answer",IF(AND(B67&lt;&gt;"live",B67&lt;&gt;"draft",B67&lt;&gt;"retired"),"Status must be live/draft/retired","OK"))))))))</f>
        <v>OK</v>
      </c>
    </row>
    <row r="68" customFormat="false" ht="46.25" hidden="false" customHeight="false" outlineLevel="0" collapsed="false">
      <c r="A68" s="2" t="s">
        <v>1341</v>
      </c>
      <c r="B68" s="2" t="s">
        <v>34</v>
      </c>
      <c r="C68" s="2" t="s">
        <v>1304</v>
      </c>
      <c r="D68" s="2" t="n">
        <v>2</v>
      </c>
      <c r="E68" s="2" t="s">
        <v>1342</v>
      </c>
      <c r="F68" s="2" t="s">
        <v>937</v>
      </c>
      <c r="G68" s="2" t="s">
        <v>1343</v>
      </c>
      <c r="H68" s="2" t="s">
        <v>549</v>
      </c>
      <c r="I68" s="2" t="s">
        <v>1344</v>
      </c>
      <c r="J68" s="2" t="s">
        <v>1345</v>
      </c>
      <c r="K68" s="2" t="s">
        <v>1346</v>
      </c>
      <c r="L68" s="2" t="s">
        <v>1347</v>
      </c>
      <c r="M68" s="2" t="s">
        <v>1348</v>
      </c>
      <c r="N68" s="2" t="s">
        <v>1100</v>
      </c>
      <c r="O68" s="2" t="s">
        <v>1349</v>
      </c>
      <c r="P68" s="2" t="s">
        <v>1350</v>
      </c>
      <c r="Q68" s="2" t="s">
        <v>1351</v>
      </c>
      <c r="R68" s="2" t="s">
        <v>1352</v>
      </c>
      <c r="S68" s="2" t="s">
        <v>111</v>
      </c>
      <c r="T68" s="2" t="s">
        <v>1353</v>
      </c>
      <c r="U68" s="2"/>
      <c r="V68" s="2" t="s">
        <v>1354</v>
      </c>
      <c r="W68" s="2" t="s">
        <v>1355</v>
      </c>
      <c r="X68" s="2" t="s">
        <v>1356</v>
      </c>
      <c r="Y68" s="2" t="s">
        <v>1357</v>
      </c>
      <c r="Z68" s="2" t="s">
        <v>1358</v>
      </c>
      <c r="AA68" s="2"/>
      <c r="AB68" s="2"/>
      <c r="AC68" s="2" t="s">
        <v>1359</v>
      </c>
      <c r="AD68" s="2"/>
      <c r="AE68" s="2" t="s">
        <v>58</v>
      </c>
      <c r="AF68" s="2"/>
      <c r="AG68" s="3" t="str">
        <f aca="false">IF(A68="","",IF(COUNTA(O68:R68)&lt;4,"Needs 4 options",IF(ISERROR(FIND(UPPER(S68),"ABCD"))+(LEN(S68)&lt;&gt;1),"Answer must be A-D",IF(OR(D68&lt;1,D68&gt;3),"Difficulty must be 1-3",IF(OR(N68="",T68=""),"Missing question or explanation",IF(COUNTBLANK(U68:X68)&lt;&gt;1,"Need 3 why-not texts",IF(INDEX(U68:X68,1,FIND(UPPER(S68),"ABCD"))&lt;&gt;"","Why-not filled for the answer",IF(AND(B68&lt;&gt;"live",B68&lt;&gt;"draft",B68&lt;&gt;"retired"),"Status must be live/draft/retired","OK"))))))))</f>
        <v>OK</v>
      </c>
    </row>
    <row r="69" customFormat="false" ht="57.45" hidden="false" customHeight="false" outlineLevel="0" collapsed="false">
      <c r="A69" s="2" t="s">
        <v>1360</v>
      </c>
      <c r="B69" s="2" t="s">
        <v>34</v>
      </c>
      <c r="C69" s="2" t="s">
        <v>1304</v>
      </c>
      <c r="D69" s="2" t="n">
        <v>3</v>
      </c>
      <c r="E69" s="2" t="s">
        <v>1361</v>
      </c>
      <c r="F69" s="2" t="s">
        <v>1058</v>
      </c>
      <c r="G69" s="2" t="s">
        <v>471</v>
      </c>
      <c r="H69" s="2" t="s">
        <v>386</v>
      </c>
      <c r="I69" s="2" t="s">
        <v>1362</v>
      </c>
      <c r="J69" s="2" t="s">
        <v>549</v>
      </c>
      <c r="K69" s="2" t="s">
        <v>1363</v>
      </c>
      <c r="L69" s="2" t="s">
        <v>1364</v>
      </c>
      <c r="M69" s="2" t="s">
        <v>1365</v>
      </c>
      <c r="N69" s="2" t="s">
        <v>1366</v>
      </c>
      <c r="O69" s="2" t="s">
        <v>1367</v>
      </c>
      <c r="P69" s="2" t="s">
        <v>1368</v>
      </c>
      <c r="Q69" s="2" t="s">
        <v>1369</v>
      </c>
      <c r="R69" s="2" t="s">
        <v>1370</v>
      </c>
      <c r="S69" s="2" t="s">
        <v>111</v>
      </c>
      <c r="T69" s="2" t="s">
        <v>1371</v>
      </c>
      <c r="U69" s="2"/>
      <c r="V69" s="2" t="s">
        <v>1372</v>
      </c>
      <c r="W69" s="2" t="s">
        <v>1373</v>
      </c>
      <c r="X69" s="2" t="s">
        <v>1374</v>
      </c>
      <c r="Y69" s="2" t="s">
        <v>1375</v>
      </c>
      <c r="Z69" s="2" t="s">
        <v>1376</v>
      </c>
      <c r="AA69" s="2"/>
      <c r="AB69" s="2"/>
      <c r="AC69" s="2" t="s">
        <v>1377</v>
      </c>
      <c r="AD69" s="2"/>
      <c r="AE69" s="2" t="s">
        <v>58</v>
      </c>
      <c r="AF69" s="2"/>
      <c r="AG69" s="3" t="str">
        <f aca="false">IF(A69="","",IF(COUNTA(O69:R69)&lt;4,"Needs 4 options",IF(ISERROR(FIND(UPPER(S69),"ABCD"))+(LEN(S69)&lt;&gt;1),"Answer must be A-D",IF(OR(D69&lt;1,D69&gt;3),"Difficulty must be 1-3",IF(OR(N69="",T69=""),"Missing question or explanation",IF(COUNTBLANK(U69:X69)&lt;&gt;1,"Need 3 why-not texts",IF(INDEX(U69:X69,1,FIND(UPPER(S69),"ABCD"))&lt;&gt;"","Why-not filled for the answer",IF(AND(B69&lt;&gt;"live",B69&lt;&gt;"draft",B69&lt;&gt;"retired"),"Status must be live/draft/retired","OK"))))))))</f>
        <v>OK</v>
      </c>
    </row>
    <row r="70" customFormat="false" ht="57.45" hidden="false" customHeight="false" outlineLevel="0" collapsed="false">
      <c r="A70" s="2" t="s">
        <v>1378</v>
      </c>
      <c r="B70" s="2" t="s">
        <v>34</v>
      </c>
      <c r="C70" s="2" t="s">
        <v>35</v>
      </c>
      <c r="D70" s="2" t="n">
        <v>2</v>
      </c>
      <c r="E70" s="2" t="s">
        <v>1379</v>
      </c>
      <c r="F70" s="2" t="s">
        <v>37</v>
      </c>
      <c r="G70" s="2" t="s">
        <v>1380</v>
      </c>
      <c r="H70" s="2" t="s">
        <v>1381</v>
      </c>
      <c r="I70" s="2" t="s">
        <v>1382</v>
      </c>
      <c r="J70" s="2" t="s">
        <v>1383</v>
      </c>
      <c r="K70" s="2" t="s">
        <v>1384</v>
      </c>
      <c r="L70" s="2" t="s">
        <v>43</v>
      </c>
      <c r="M70" s="2" t="s">
        <v>84</v>
      </c>
      <c r="N70" s="2" t="s">
        <v>1385</v>
      </c>
      <c r="O70" s="2" t="s">
        <v>1386</v>
      </c>
      <c r="P70" s="2" t="s">
        <v>1387</v>
      </c>
      <c r="Q70" s="2" t="s">
        <v>1388</v>
      </c>
      <c r="R70" s="2" t="s">
        <v>1389</v>
      </c>
      <c r="S70" s="2" t="s">
        <v>50</v>
      </c>
      <c r="T70" s="2" t="s">
        <v>1390</v>
      </c>
      <c r="U70" s="2" t="s">
        <v>1391</v>
      </c>
      <c r="V70" s="2"/>
      <c r="W70" s="2" t="s">
        <v>1392</v>
      </c>
      <c r="X70" s="2" t="s">
        <v>1393</v>
      </c>
      <c r="Y70" s="2" t="s">
        <v>1394</v>
      </c>
      <c r="Z70" s="2" t="s">
        <v>1395</v>
      </c>
      <c r="AA70" s="2"/>
      <c r="AB70" s="2"/>
      <c r="AC70" s="2" t="s">
        <v>1396</v>
      </c>
      <c r="AD70" s="2"/>
      <c r="AE70" s="2" t="s">
        <v>58</v>
      </c>
      <c r="AF70" s="2"/>
      <c r="AG70" s="3" t="str">
        <f aca="false">IF(A70="","",IF(COUNTA(O70:R70)&lt;4,"Needs 4 options",IF(ISERROR(FIND(UPPER(S70),"ABCD"))+(LEN(S70)&lt;&gt;1),"Answer must be A-D",IF(OR(D70&lt;1,D70&gt;3),"Difficulty must be 1-3",IF(OR(N70="",T70=""),"Missing question or explanation",IF(COUNTBLANK(U70:X70)&lt;&gt;1,"Need 3 why-not texts",IF(INDEX(U70:X70,1,FIND(UPPER(S70),"ABCD"))&lt;&gt;"","Why-not filled for the answer",IF(AND(B70&lt;&gt;"live",B70&lt;&gt;"draft",B70&lt;&gt;"retired"),"Status must be live/draft/retired","OK"))))))))</f>
        <v>OK</v>
      </c>
    </row>
    <row r="71" customFormat="false" ht="46.25" hidden="false" customHeight="false" outlineLevel="0" collapsed="false">
      <c r="A71" s="2" t="s">
        <v>1397</v>
      </c>
      <c r="B71" s="2" t="s">
        <v>34</v>
      </c>
      <c r="C71" s="2" t="s">
        <v>35</v>
      </c>
      <c r="D71" s="2" t="n">
        <v>3</v>
      </c>
      <c r="E71" s="2" t="s">
        <v>1398</v>
      </c>
      <c r="F71" s="2" t="s">
        <v>37</v>
      </c>
      <c r="G71" s="2" t="s">
        <v>1399</v>
      </c>
      <c r="H71" s="2" t="s">
        <v>1400</v>
      </c>
      <c r="I71" s="2" t="s">
        <v>1309</v>
      </c>
      <c r="J71" s="2" t="s">
        <v>1401</v>
      </c>
      <c r="K71" s="2" t="s">
        <v>1402</v>
      </c>
      <c r="L71" s="2" t="s">
        <v>1403</v>
      </c>
      <c r="M71" s="2" t="s">
        <v>1404</v>
      </c>
      <c r="N71" s="2" t="s">
        <v>1405</v>
      </c>
      <c r="O71" s="2" t="s">
        <v>1406</v>
      </c>
      <c r="P71" s="2" t="s">
        <v>1407</v>
      </c>
      <c r="Q71" s="2" t="s">
        <v>1408</v>
      </c>
      <c r="R71" s="2" t="s">
        <v>1409</v>
      </c>
      <c r="S71" s="2" t="s">
        <v>50</v>
      </c>
      <c r="T71" s="2" t="s">
        <v>1410</v>
      </c>
      <c r="U71" s="2" t="s">
        <v>1411</v>
      </c>
      <c r="V71" s="2"/>
      <c r="W71" s="2" t="s">
        <v>1412</v>
      </c>
      <c r="X71" s="2" t="s">
        <v>1413</v>
      </c>
      <c r="Y71" s="2" t="s">
        <v>1394</v>
      </c>
      <c r="Z71" s="2" t="s">
        <v>1414</v>
      </c>
      <c r="AA71" s="2"/>
      <c r="AB71" s="2"/>
      <c r="AC71" s="2" t="s">
        <v>1415</v>
      </c>
      <c r="AD71" s="2"/>
      <c r="AE71" s="2" t="s">
        <v>58</v>
      </c>
      <c r="AF71" s="2"/>
      <c r="AG71" s="3" t="str">
        <f aca="false">IF(A71="","",IF(COUNTA(O71:R71)&lt;4,"Needs 4 options",IF(ISERROR(FIND(UPPER(S71),"ABCD"))+(LEN(S71)&lt;&gt;1),"Answer must be A-D",IF(OR(D71&lt;1,D71&gt;3),"Difficulty must be 1-3",IF(OR(N71="",T71=""),"Missing question or explanation",IF(COUNTBLANK(U71:X71)&lt;&gt;1,"Need 3 why-not texts",IF(INDEX(U71:X71,1,FIND(UPPER(S71),"ABCD"))&lt;&gt;"","Why-not filled for the answer",IF(AND(B71&lt;&gt;"live",B71&lt;&gt;"draft",B71&lt;&gt;"retired"),"Status must be live/draft/retired","OK"))))))))</f>
        <v>OK</v>
      </c>
    </row>
    <row r="72" customFormat="false" ht="35.05" hidden="false" customHeight="false" outlineLevel="0" collapsed="false">
      <c r="A72" s="2" t="s">
        <v>1416</v>
      </c>
      <c r="B72" s="2" t="s">
        <v>34</v>
      </c>
      <c r="C72" s="2" t="s">
        <v>35</v>
      </c>
      <c r="D72" s="2" t="n">
        <v>2</v>
      </c>
      <c r="E72" s="2" t="s">
        <v>1417</v>
      </c>
      <c r="F72" s="2" t="s">
        <v>37</v>
      </c>
      <c r="G72" s="2" t="s">
        <v>1418</v>
      </c>
      <c r="H72" s="2" t="s">
        <v>1419</v>
      </c>
      <c r="I72" s="2" t="s">
        <v>1420</v>
      </c>
      <c r="J72" s="2" t="s">
        <v>103</v>
      </c>
      <c r="K72" s="2" t="s">
        <v>1421</v>
      </c>
      <c r="L72" s="2" t="s">
        <v>549</v>
      </c>
      <c r="M72" s="2" t="s">
        <v>1422</v>
      </c>
      <c r="N72" s="2" t="s">
        <v>1423</v>
      </c>
      <c r="O72" s="2" t="s">
        <v>1424</v>
      </c>
      <c r="P72" s="2" t="s">
        <v>1425</v>
      </c>
      <c r="Q72" s="2" t="s">
        <v>1426</v>
      </c>
      <c r="R72" s="2" t="s">
        <v>1427</v>
      </c>
      <c r="S72" s="2" t="s">
        <v>50</v>
      </c>
      <c r="T72" s="2" t="s">
        <v>1428</v>
      </c>
      <c r="U72" s="2" t="s">
        <v>1429</v>
      </c>
      <c r="V72" s="2"/>
      <c r="W72" s="2" t="s">
        <v>1430</v>
      </c>
      <c r="X72" s="2" t="s">
        <v>1431</v>
      </c>
      <c r="Y72" s="2" t="s">
        <v>1394</v>
      </c>
      <c r="Z72" s="2" t="s">
        <v>1432</v>
      </c>
      <c r="AA72" s="2"/>
      <c r="AB72" s="2"/>
      <c r="AC72" s="2" t="s">
        <v>1415</v>
      </c>
      <c r="AD72" s="2"/>
      <c r="AE72" s="2" t="s">
        <v>58</v>
      </c>
      <c r="AF72" s="2"/>
      <c r="AG72" s="3" t="str">
        <f aca="false">IF(A72="","",IF(COUNTA(O72:R72)&lt;4,"Needs 4 options",IF(ISERROR(FIND(UPPER(S72),"ABCD"))+(LEN(S72)&lt;&gt;1),"Answer must be A-D",IF(OR(D72&lt;1,D72&gt;3),"Difficulty must be 1-3",IF(OR(N72="",T72=""),"Missing question or explanation",IF(COUNTBLANK(U72:X72)&lt;&gt;1,"Need 3 why-not texts",IF(INDEX(U72:X72,1,FIND(UPPER(S72),"ABCD"))&lt;&gt;"","Why-not filled for the answer",IF(AND(B72&lt;&gt;"live",B72&lt;&gt;"draft",B72&lt;&gt;"retired"),"Status must be live/draft/retired","OK"))))))))</f>
        <v>OK</v>
      </c>
    </row>
    <row r="73" customFormat="false" ht="35.05" hidden="false" customHeight="false" outlineLevel="0" collapsed="false">
      <c r="A73" s="2" t="s">
        <v>1433</v>
      </c>
      <c r="B73" s="2" t="s">
        <v>34</v>
      </c>
      <c r="C73" s="2" t="s">
        <v>35</v>
      </c>
      <c r="D73" s="2" t="n">
        <v>2</v>
      </c>
      <c r="E73" s="2" t="s">
        <v>1434</v>
      </c>
      <c r="F73" s="2" t="s">
        <v>37</v>
      </c>
      <c r="G73" s="2" t="s">
        <v>1435</v>
      </c>
      <c r="H73" s="2" t="s">
        <v>1436</v>
      </c>
      <c r="I73" s="2" t="s">
        <v>1437</v>
      </c>
      <c r="J73" s="2" t="s">
        <v>1097</v>
      </c>
      <c r="K73" s="2" t="s">
        <v>1438</v>
      </c>
      <c r="L73" s="2" t="s">
        <v>1439</v>
      </c>
      <c r="M73" s="2" t="s">
        <v>1440</v>
      </c>
      <c r="N73" s="2" t="s">
        <v>1441</v>
      </c>
      <c r="O73" s="2" t="s">
        <v>1442</v>
      </c>
      <c r="P73" s="2" t="s">
        <v>1443</v>
      </c>
      <c r="Q73" s="2" t="s">
        <v>1444</v>
      </c>
      <c r="R73" s="2" t="s">
        <v>1445</v>
      </c>
      <c r="S73" s="2" t="s">
        <v>50</v>
      </c>
      <c r="T73" s="2" t="s">
        <v>1446</v>
      </c>
      <c r="U73" s="2" t="s">
        <v>1447</v>
      </c>
      <c r="V73" s="2"/>
      <c r="W73" s="2" t="s">
        <v>1448</v>
      </c>
      <c r="X73" s="2" t="s">
        <v>1449</v>
      </c>
      <c r="Y73" s="2" t="s">
        <v>1450</v>
      </c>
      <c r="Z73" s="2" t="s">
        <v>1451</v>
      </c>
      <c r="AA73" s="2"/>
      <c r="AB73" s="2"/>
      <c r="AC73" s="2" t="s">
        <v>1452</v>
      </c>
      <c r="AD73" s="2"/>
      <c r="AE73" s="2" t="s">
        <v>58</v>
      </c>
      <c r="AF73" s="2"/>
      <c r="AG73" s="3" t="str">
        <f aca="false">IF(A73="","",IF(COUNTA(O73:R73)&lt;4,"Needs 4 options",IF(ISERROR(FIND(UPPER(S73),"ABCD"))+(LEN(S73)&lt;&gt;1),"Answer must be A-D",IF(OR(D73&lt;1,D73&gt;3),"Difficulty must be 1-3",IF(OR(N73="",T73=""),"Missing question or explanation",IF(COUNTBLANK(U73:X73)&lt;&gt;1,"Need 3 why-not texts",IF(INDEX(U73:X73,1,FIND(UPPER(S73),"ABCD"))&lt;&gt;"","Why-not filled for the answer",IF(AND(B73&lt;&gt;"live",B73&lt;&gt;"draft",B73&lt;&gt;"retired"),"Status must be live/draft/retired","OK"))))))))</f>
        <v>OK</v>
      </c>
    </row>
    <row r="74" customFormat="false" ht="57.45" hidden="false" customHeight="false" outlineLevel="0" collapsed="false">
      <c r="A74" s="2" t="s">
        <v>1453</v>
      </c>
      <c r="B74" s="2" t="s">
        <v>34</v>
      </c>
      <c r="C74" s="2" t="s">
        <v>35</v>
      </c>
      <c r="D74" s="2" t="n">
        <v>3</v>
      </c>
      <c r="E74" s="2" t="s">
        <v>1454</v>
      </c>
      <c r="F74" s="2" t="s">
        <v>37</v>
      </c>
      <c r="G74" s="2" t="s">
        <v>1455</v>
      </c>
      <c r="H74" s="2" t="s">
        <v>160</v>
      </c>
      <c r="I74" s="2" t="s">
        <v>1456</v>
      </c>
      <c r="J74" s="2" t="s">
        <v>1457</v>
      </c>
      <c r="K74" s="2" t="s">
        <v>1458</v>
      </c>
      <c r="L74" s="2" t="s">
        <v>43</v>
      </c>
      <c r="M74" s="2" t="s">
        <v>84</v>
      </c>
      <c r="N74" s="2" t="s">
        <v>1459</v>
      </c>
      <c r="O74" s="2" t="s">
        <v>1460</v>
      </c>
      <c r="P74" s="2" t="s">
        <v>1461</v>
      </c>
      <c r="Q74" s="2" t="s">
        <v>1462</v>
      </c>
      <c r="R74" s="2" t="s">
        <v>1463</v>
      </c>
      <c r="S74" s="2" t="s">
        <v>50</v>
      </c>
      <c r="T74" s="2" t="s">
        <v>1464</v>
      </c>
      <c r="U74" s="2" t="s">
        <v>1465</v>
      </c>
      <c r="V74" s="2"/>
      <c r="W74" s="2" t="s">
        <v>1466</v>
      </c>
      <c r="X74" s="2" t="s">
        <v>1467</v>
      </c>
      <c r="Y74" s="2" t="s">
        <v>1450</v>
      </c>
      <c r="Z74" s="2" t="s">
        <v>1468</v>
      </c>
      <c r="AA74" s="2"/>
      <c r="AB74" s="2"/>
      <c r="AC74" s="2" t="s">
        <v>1469</v>
      </c>
      <c r="AD74" s="2"/>
      <c r="AE74" s="2" t="s">
        <v>58</v>
      </c>
      <c r="AF74" s="2"/>
      <c r="AG74" s="3" t="str">
        <f aca="false">IF(A74="","",IF(COUNTA(O74:R74)&lt;4,"Needs 4 options",IF(ISERROR(FIND(UPPER(S74),"ABCD"))+(LEN(S74)&lt;&gt;1),"Answer must be A-D",IF(OR(D74&lt;1,D74&gt;3),"Difficulty must be 1-3",IF(OR(N74="",T74=""),"Missing question or explanation",IF(COUNTBLANK(U74:X74)&lt;&gt;1,"Need 3 why-not texts",IF(INDEX(U74:X74,1,FIND(UPPER(S74),"ABCD"))&lt;&gt;"","Why-not filled for the answer",IF(AND(B74&lt;&gt;"live",B74&lt;&gt;"draft",B74&lt;&gt;"retired"),"Status must be live/draft/retired","OK"))))))))</f>
        <v>OK</v>
      </c>
    </row>
    <row r="75" customFormat="false" ht="23.85" hidden="false" customHeight="false" outlineLevel="0" collapsed="false">
      <c r="A75" s="2" t="s">
        <v>1470</v>
      </c>
      <c r="B75" s="2" t="s">
        <v>34</v>
      </c>
      <c r="C75" s="2" t="s">
        <v>35</v>
      </c>
      <c r="D75" s="2" t="n">
        <v>1</v>
      </c>
      <c r="E75" s="2" t="s">
        <v>1471</v>
      </c>
      <c r="F75" s="2" t="s">
        <v>37</v>
      </c>
      <c r="G75" s="2" t="s">
        <v>1472</v>
      </c>
      <c r="H75" s="2" t="s">
        <v>246</v>
      </c>
      <c r="I75" s="2" t="s">
        <v>1473</v>
      </c>
      <c r="J75" s="2" t="s">
        <v>1079</v>
      </c>
      <c r="K75" s="2" t="s">
        <v>1474</v>
      </c>
      <c r="L75" s="2" t="s">
        <v>937</v>
      </c>
      <c r="M75" s="2" t="s">
        <v>1475</v>
      </c>
      <c r="N75" s="2" t="s">
        <v>1476</v>
      </c>
      <c r="O75" s="2" t="s">
        <v>1477</v>
      </c>
      <c r="P75" s="2" t="s">
        <v>1478</v>
      </c>
      <c r="Q75" s="2" t="s">
        <v>1479</v>
      </c>
      <c r="R75" s="2" t="s">
        <v>1480</v>
      </c>
      <c r="S75" s="2" t="s">
        <v>50</v>
      </c>
      <c r="T75" s="2" t="s">
        <v>1481</v>
      </c>
      <c r="U75" s="2" t="s">
        <v>1482</v>
      </c>
      <c r="V75" s="2"/>
      <c r="W75" s="2" t="s">
        <v>1483</v>
      </c>
      <c r="X75" s="2" t="s">
        <v>1484</v>
      </c>
      <c r="Y75" s="2" t="s">
        <v>1485</v>
      </c>
      <c r="Z75" s="2" t="s">
        <v>1486</v>
      </c>
      <c r="AA75" s="2"/>
      <c r="AB75" s="2"/>
      <c r="AC75" s="2" t="s">
        <v>1487</v>
      </c>
      <c r="AD75" s="2"/>
      <c r="AE75" s="2" t="s">
        <v>58</v>
      </c>
      <c r="AF75" s="2"/>
      <c r="AG75" s="3" t="str">
        <f aca="false">IF(A75="","",IF(COUNTA(O75:R75)&lt;4,"Needs 4 options",IF(ISERROR(FIND(UPPER(S75),"ABCD"))+(LEN(S75)&lt;&gt;1),"Answer must be A-D",IF(OR(D75&lt;1,D75&gt;3),"Difficulty must be 1-3",IF(OR(N75="",T75=""),"Missing question or explanation",IF(COUNTBLANK(U75:X75)&lt;&gt;1,"Need 3 why-not texts",IF(INDEX(U75:X75,1,FIND(UPPER(S75),"ABCD"))&lt;&gt;"","Why-not filled for the answer",IF(AND(B75&lt;&gt;"live",B75&lt;&gt;"draft",B75&lt;&gt;"retired"),"Status must be live/draft/retired","OK"))))))))</f>
        <v>OK</v>
      </c>
    </row>
    <row r="76" customFormat="false" ht="35.05" hidden="false" customHeight="false" outlineLevel="0" collapsed="false">
      <c r="A76" s="2" t="s">
        <v>1488</v>
      </c>
      <c r="B76" s="2" t="s">
        <v>34</v>
      </c>
      <c r="C76" s="2" t="s">
        <v>35</v>
      </c>
      <c r="D76" s="2" t="n">
        <v>2</v>
      </c>
      <c r="E76" s="2" t="s">
        <v>1489</v>
      </c>
      <c r="F76" s="2" t="s">
        <v>37</v>
      </c>
      <c r="G76" s="2" t="s">
        <v>1490</v>
      </c>
      <c r="H76" s="2" t="s">
        <v>1491</v>
      </c>
      <c r="I76" s="2" t="s">
        <v>1492</v>
      </c>
      <c r="J76" s="2" t="s">
        <v>1493</v>
      </c>
      <c r="K76" s="2" t="s">
        <v>1494</v>
      </c>
      <c r="L76" s="2" t="s">
        <v>43</v>
      </c>
      <c r="M76" s="2" t="s">
        <v>1495</v>
      </c>
      <c r="N76" s="2" t="s">
        <v>1496</v>
      </c>
      <c r="O76" s="2" t="s">
        <v>1497</v>
      </c>
      <c r="P76" s="2" t="s">
        <v>1498</v>
      </c>
      <c r="Q76" s="2" t="s">
        <v>1499</v>
      </c>
      <c r="R76" s="2" t="s">
        <v>1500</v>
      </c>
      <c r="S76" s="2" t="s">
        <v>50</v>
      </c>
      <c r="T76" s="2" t="s">
        <v>1501</v>
      </c>
      <c r="U76" s="2" t="s">
        <v>1502</v>
      </c>
      <c r="V76" s="2"/>
      <c r="W76" s="2" t="s">
        <v>1503</v>
      </c>
      <c r="X76" s="2" t="s">
        <v>1504</v>
      </c>
      <c r="Y76" s="2" t="s">
        <v>76</v>
      </c>
      <c r="Z76" s="2" t="s">
        <v>1505</v>
      </c>
      <c r="AA76" s="2"/>
      <c r="AB76" s="2"/>
      <c r="AC76" s="2" t="s">
        <v>1506</v>
      </c>
      <c r="AD76" s="2"/>
      <c r="AE76" s="2" t="s">
        <v>58</v>
      </c>
      <c r="AF76" s="2"/>
      <c r="AG76" s="3" t="str">
        <f aca="false">IF(A76="","",IF(COUNTA(O76:R76)&lt;4,"Needs 4 options",IF(ISERROR(FIND(UPPER(S76),"ABCD"))+(LEN(S76)&lt;&gt;1),"Answer must be A-D",IF(OR(D76&lt;1,D76&gt;3),"Difficulty must be 1-3",IF(OR(N76="",T76=""),"Missing question or explanation",IF(COUNTBLANK(U76:X76)&lt;&gt;1,"Need 3 why-not texts",IF(INDEX(U76:X76,1,FIND(UPPER(S76),"ABCD"))&lt;&gt;"","Why-not filled for the answer",IF(AND(B76&lt;&gt;"live",B76&lt;&gt;"draft",B76&lt;&gt;"retired"),"Status must be live/draft/retired","OK"))))))))</f>
        <v>OK</v>
      </c>
    </row>
    <row r="77" customFormat="false" ht="46.25" hidden="false" customHeight="false" outlineLevel="0" collapsed="false">
      <c r="A77" s="2" t="s">
        <v>1507</v>
      </c>
      <c r="B77" s="2" t="s">
        <v>34</v>
      </c>
      <c r="C77" s="2" t="s">
        <v>35</v>
      </c>
      <c r="D77" s="2" t="n">
        <v>3</v>
      </c>
      <c r="E77" s="2" t="s">
        <v>1508</v>
      </c>
      <c r="F77" s="2" t="s">
        <v>37</v>
      </c>
      <c r="G77" s="2" t="s">
        <v>1509</v>
      </c>
      <c r="H77" s="2" t="s">
        <v>1510</v>
      </c>
      <c r="I77" s="2" t="s">
        <v>1511</v>
      </c>
      <c r="J77" s="2" t="s">
        <v>783</v>
      </c>
      <c r="K77" s="2" t="s">
        <v>784</v>
      </c>
      <c r="L77" s="2" t="s">
        <v>43</v>
      </c>
      <c r="M77" s="2" t="s">
        <v>84</v>
      </c>
      <c r="N77" s="2" t="s">
        <v>785</v>
      </c>
      <c r="O77" s="2" t="s">
        <v>1512</v>
      </c>
      <c r="P77" s="2" t="s">
        <v>1513</v>
      </c>
      <c r="Q77" s="2" t="s">
        <v>1514</v>
      </c>
      <c r="R77" s="2" t="s">
        <v>1515</v>
      </c>
      <c r="S77" s="2" t="s">
        <v>50</v>
      </c>
      <c r="T77" s="2" t="s">
        <v>1516</v>
      </c>
      <c r="U77" s="2" t="s">
        <v>1517</v>
      </c>
      <c r="V77" s="2"/>
      <c r="W77" s="2" t="s">
        <v>1518</v>
      </c>
      <c r="X77" s="2" t="s">
        <v>1519</v>
      </c>
      <c r="Y77" s="2" t="s">
        <v>1520</v>
      </c>
      <c r="Z77" s="2" t="s">
        <v>1521</v>
      </c>
      <c r="AA77" s="2" t="s">
        <v>1522</v>
      </c>
      <c r="AB77" s="2" t="s">
        <v>1523</v>
      </c>
      <c r="AC77" s="2" t="s">
        <v>1524</v>
      </c>
      <c r="AD77" s="2"/>
      <c r="AE77" s="2" t="s">
        <v>58</v>
      </c>
      <c r="AF77" s="2"/>
      <c r="AG77" s="3" t="str">
        <f aca="false">IF(A77="","",IF(COUNTA(O77:R77)&lt;4,"Needs 4 options",IF(ISERROR(FIND(UPPER(S77),"ABCD"))+(LEN(S77)&lt;&gt;1),"Answer must be A-D",IF(OR(D77&lt;1,D77&gt;3),"Difficulty must be 1-3",IF(OR(N77="",T77=""),"Missing question or explanation",IF(COUNTBLANK(U77:X77)&lt;&gt;1,"Need 3 why-not texts",IF(INDEX(U77:X77,1,FIND(UPPER(S77),"ABCD"))&lt;&gt;"","Why-not filled for the answer",IF(AND(B77&lt;&gt;"live",B77&lt;&gt;"draft",B77&lt;&gt;"retired"),"Status must be live/draft/retired","OK"))))))))</f>
        <v>OK</v>
      </c>
    </row>
    <row r="78" customFormat="false" ht="91" hidden="false" customHeight="false" outlineLevel="0" collapsed="false">
      <c r="A78" s="2" t="s">
        <v>1525</v>
      </c>
      <c r="B78" s="2" t="s">
        <v>34</v>
      </c>
      <c r="C78" s="2" t="s">
        <v>35</v>
      </c>
      <c r="D78" s="2" t="n">
        <v>2</v>
      </c>
      <c r="E78" s="2" t="s">
        <v>1526</v>
      </c>
      <c r="F78" s="2" t="s">
        <v>37</v>
      </c>
      <c r="G78" s="2" t="s">
        <v>1527</v>
      </c>
      <c r="H78" s="2" t="s">
        <v>1528</v>
      </c>
      <c r="I78" s="2" t="s">
        <v>1529</v>
      </c>
      <c r="J78" s="2" t="s">
        <v>1530</v>
      </c>
      <c r="K78" s="2" t="s">
        <v>1531</v>
      </c>
      <c r="L78" s="2" t="s">
        <v>105</v>
      </c>
      <c r="M78" s="2" t="s">
        <v>1532</v>
      </c>
      <c r="N78" s="2" t="s">
        <v>107</v>
      </c>
      <c r="O78" s="2" t="s">
        <v>1533</v>
      </c>
      <c r="P78" s="2" t="s">
        <v>1534</v>
      </c>
      <c r="Q78" s="2" t="s">
        <v>1535</v>
      </c>
      <c r="R78" s="2" t="s">
        <v>109</v>
      </c>
      <c r="S78" s="2" t="s">
        <v>50</v>
      </c>
      <c r="T78" s="2" t="s">
        <v>1536</v>
      </c>
      <c r="U78" s="2" t="s">
        <v>1537</v>
      </c>
      <c r="V78" s="2"/>
      <c r="W78" s="2" t="s">
        <v>1538</v>
      </c>
      <c r="X78" s="2" t="s">
        <v>1539</v>
      </c>
      <c r="Y78" s="2" t="s">
        <v>132</v>
      </c>
      <c r="Z78" s="2" t="s">
        <v>133</v>
      </c>
      <c r="AA78" s="2"/>
      <c r="AB78" s="2"/>
      <c r="AC78" s="2" t="s">
        <v>1540</v>
      </c>
      <c r="AD78" s="2"/>
      <c r="AE78" s="2" t="s">
        <v>58</v>
      </c>
      <c r="AF78" s="2"/>
      <c r="AG78" s="3" t="str">
        <f aca="false">IF(A78="","",IF(COUNTA(O78:R78)&lt;4,"Needs 4 options",IF(ISERROR(FIND(UPPER(S78),"ABCD"))+(LEN(S78)&lt;&gt;1),"Answer must be A-D",IF(OR(D78&lt;1,D78&gt;3),"Difficulty must be 1-3",IF(OR(N78="",T78=""),"Missing question or explanation",IF(COUNTBLANK(U78:X78)&lt;&gt;1,"Need 3 why-not texts",IF(INDEX(U78:X78,1,FIND(UPPER(S78),"ABCD"))&lt;&gt;"","Why-not filled for the answer",IF(AND(B78&lt;&gt;"live",B78&lt;&gt;"draft",B78&lt;&gt;"retired"),"Status must be live/draft/retired","OK"))))))))</f>
        <v>OK</v>
      </c>
    </row>
    <row r="79" customFormat="false" ht="68.65" hidden="false" customHeight="false" outlineLevel="0" collapsed="false">
      <c r="A79" s="2" t="s">
        <v>1541</v>
      </c>
      <c r="B79" s="2" t="s">
        <v>34</v>
      </c>
      <c r="C79" s="2" t="s">
        <v>35</v>
      </c>
      <c r="D79" s="2" t="n">
        <v>2</v>
      </c>
      <c r="E79" s="2" t="s">
        <v>1542</v>
      </c>
      <c r="F79" s="2" t="s">
        <v>37</v>
      </c>
      <c r="G79" s="2" t="s">
        <v>1543</v>
      </c>
      <c r="H79" s="2" t="s">
        <v>1544</v>
      </c>
      <c r="I79" s="2" t="s">
        <v>1545</v>
      </c>
      <c r="J79" s="2" t="s">
        <v>246</v>
      </c>
      <c r="K79" s="2" t="s">
        <v>1546</v>
      </c>
      <c r="L79" s="2" t="s">
        <v>547</v>
      </c>
      <c r="M79" s="2" t="s">
        <v>1547</v>
      </c>
      <c r="N79" s="2" t="s">
        <v>986</v>
      </c>
      <c r="O79" s="2" t="s">
        <v>1548</v>
      </c>
      <c r="P79" s="2" t="s">
        <v>1549</v>
      </c>
      <c r="Q79" s="2" t="s">
        <v>1550</v>
      </c>
      <c r="R79" s="2" t="s">
        <v>1551</v>
      </c>
      <c r="S79" s="2" t="s">
        <v>50</v>
      </c>
      <c r="T79" s="2" t="s">
        <v>1552</v>
      </c>
      <c r="U79" s="2" t="s">
        <v>1553</v>
      </c>
      <c r="V79" s="2"/>
      <c r="W79" s="2" t="s">
        <v>1554</v>
      </c>
      <c r="X79" s="2" t="s">
        <v>1555</v>
      </c>
      <c r="Y79" s="2" t="s">
        <v>1556</v>
      </c>
      <c r="Z79" s="2" t="s">
        <v>1557</v>
      </c>
      <c r="AA79" s="2"/>
      <c r="AB79" s="2"/>
      <c r="AC79" s="2" t="s">
        <v>1558</v>
      </c>
      <c r="AD79" s="2"/>
      <c r="AE79" s="2" t="s">
        <v>58</v>
      </c>
      <c r="AF79" s="2"/>
      <c r="AG79" s="3" t="str">
        <f aca="false">IF(A79="","",IF(COUNTA(O79:R79)&lt;4,"Needs 4 options",IF(ISERROR(FIND(UPPER(S79),"ABCD"))+(LEN(S79)&lt;&gt;1),"Answer must be A-D",IF(OR(D79&lt;1,D79&gt;3),"Difficulty must be 1-3",IF(OR(N79="",T79=""),"Missing question or explanation",IF(COUNTBLANK(U79:X79)&lt;&gt;1,"Need 3 why-not texts",IF(INDEX(U79:X79,1,FIND(UPPER(S79),"ABCD"))&lt;&gt;"","Why-not filled for the answer",IF(AND(B79&lt;&gt;"live",B79&lt;&gt;"draft",B79&lt;&gt;"retired"),"Status must be live/draft/retired","OK"))))))))</f>
        <v>OK</v>
      </c>
    </row>
    <row r="80" customFormat="false" ht="68.65" hidden="false" customHeight="false" outlineLevel="0" collapsed="false">
      <c r="A80" s="2" t="s">
        <v>1559</v>
      </c>
      <c r="B80" s="2" t="s">
        <v>34</v>
      </c>
      <c r="C80" s="2" t="s">
        <v>35</v>
      </c>
      <c r="D80" s="2" t="n">
        <v>3</v>
      </c>
      <c r="E80" s="2" t="s">
        <v>1560</v>
      </c>
      <c r="F80" s="2" t="s">
        <v>37</v>
      </c>
      <c r="G80" s="2" t="s">
        <v>1561</v>
      </c>
      <c r="H80" s="2" t="s">
        <v>246</v>
      </c>
      <c r="I80" s="2" t="s">
        <v>1562</v>
      </c>
      <c r="J80" s="2" t="s">
        <v>1563</v>
      </c>
      <c r="K80" s="2" t="s">
        <v>1564</v>
      </c>
      <c r="L80" s="2" t="s">
        <v>1115</v>
      </c>
      <c r="M80" s="2" t="s">
        <v>1565</v>
      </c>
      <c r="N80" s="2" t="s">
        <v>1566</v>
      </c>
      <c r="O80" s="2" t="s">
        <v>1567</v>
      </c>
      <c r="P80" s="2" t="s">
        <v>1568</v>
      </c>
      <c r="Q80" s="2" t="s">
        <v>1569</v>
      </c>
      <c r="R80" s="2" t="s">
        <v>1570</v>
      </c>
      <c r="S80" s="2" t="s">
        <v>50</v>
      </c>
      <c r="T80" s="2" t="s">
        <v>1571</v>
      </c>
      <c r="U80" s="2" t="s">
        <v>1572</v>
      </c>
      <c r="V80" s="2"/>
      <c r="W80" s="2" t="s">
        <v>1573</v>
      </c>
      <c r="X80" s="2" t="s">
        <v>1574</v>
      </c>
      <c r="Y80" s="2" t="s">
        <v>1556</v>
      </c>
      <c r="Z80" s="2" t="s">
        <v>1557</v>
      </c>
      <c r="AA80" s="2"/>
      <c r="AB80" s="2"/>
      <c r="AC80" s="2" t="s">
        <v>1575</v>
      </c>
      <c r="AD80" s="2"/>
      <c r="AE80" s="2" t="s">
        <v>58</v>
      </c>
      <c r="AF80" s="2"/>
      <c r="AG80" s="3" t="str">
        <f aca="false">IF(A80="","",IF(COUNTA(O80:R80)&lt;4,"Needs 4 options",IF(ISERROR(FIND(UPPER(S80),"ABCD"))+(LEN(S80)&lt;&gt;1),"Answer must be A-D",IF(OR(D80&lt;1,D80&gt;3),"Difficulty must be 1-3",IF(OR(N80="",T80=""),"Missing question or explanation",IF(COUNTBLANK(U80:X80)&lt;&gt;1,"Need 3 why-not texts",IF(INDEX(U80:X80,1,FIND(UPPER(S80),"ABCD"))&lt;&gt;"","Why-not filled for the answer",IF(AND(B80&lt;&gt;"live",B80&lt;&gt;"draft",B80&lt;&gt;"retired"),"Status must be live/draft/retired","OK"))))))))</f>
        <v>OK</v>
      </c>
    </row>
    <row r="81" customFormat="false" ht="102.2" hidden="false" customHeight="false" outlineLevel="0" collapsed="false">
      <c r="A81" s="2" t="s">
        <v>1576</v>
      </c>
      <c r="B81" s="2" t="s">
        <v>34</v>
      </c>
      <c r="C81" s="2" t="s">
        <v>35</v>
      </c>
      <c r="D81" s="2" t="n">
        <v>2</v>
      </c>
      <c r="E81" s="2" t="s">
        <v>1577</v>
      </c>
      <c r="F81" s="2" t="s">
        <v>223</v>
      </c>
      <c r="G81" s="2" t="s">
        <v>323</v>
      </c>
      <c r="H81" s="2" t="s">
        <v>160</v>
      </c>
      <c r="I81" s="2" t="s">
        <v>1578</v>
      </c>
      <c r="J81" s="2" t="s">
        <v>1579</v>
      </c>
      <c r="K81" s="2" t="s">
        <v>1580</v>
      </c>
      <c r="L81" s="2" t="s">
        <v>1581</v>
      </c>
      <c r="M81" s="2" t="s">
        <v>1582</v>
      </c>
      <c r="N81" s="2" t="s">
        <v>1583</v>
      </c>
      <c r="O81" s="2" t="s">
        <v>1584</v>
      </c>
      <c r="P81" s="2" t="s">
        <v>1585</v>
      </c>
      <c r="Q81" s="2" t="s">
        <v>1586</v>
      </c>
      <c r="R81" s="2" t="s">
        <v>1587</v>
      </c>
      <c r="S81" s="2" t="s">
        <v>50</v>
      </c>
      <c r="T81" s="2" t="s">
        <v>1588</v>
      </c>
      <c r="U81" s="2" t="s">
        <v>1589</v>
      </c>
      <c r="V81" s="2"/>
      <c r="W81" s="2" t="s">
        <v>1590</v>
      </c>
      <c r="X81" s="2" t="s">
        <v>1591</v>
      </c>
      <c r="Y81" s="2" t="s">
        <v>1592</v>
      </c>
      <c r="Z81" s="2" t="s">
        <v>1593</v>
      </c>
      <c r="AA81" s="2"/>
      <c r="AB81" s="2"/>
      <c r="AC81" s="2" t="s">
        <v>1594</v>
      </c>
      <c r="AD81" s="2"/>
      <c r="AE81" s="2" t="s">
        <v>58</v>
      </c>
      <c r="AF81" s="2"/>
      <c r="AG81" s="3" t="str">
        <f aca="false">IF(A81="","",IF(COUNTA(O81:R81)&lt;4,"Needs 4 options",IF(ISERROR(FIND(UPPER(S81),"ABCD"))+(LEN(S81)&lt;&gt;1),"Answer must be A-D",IF(OR(D81&lt;1,D81&gt;3),"Difficulty must be 1-3",IF(OR(N81="",T81=""),"Missing question or explanation",IF(COUNTBLANK(U81:X81)&lt;&gt;1,"Need 3 why-not texts",IF(INDEX(U81:X81,1,FIND(UPPER(S81),"ABCD"))&lt;&gt;"","Why-not filled for the answer",IF(AND(B81&lt;&gt;"live",B81&lt;&gt;"draft",B81&lt;&gt;"retired"),"Status must be live/draft/retired","OK"))))))))</f>
        <v>OK</v>
      </c>
    </row>
    <row r="82" customFormat="false" ht="23.85" hidden="false" customHeight="false" outlineLevel="0" collapsed="false">
      <c r="A82" s="2" t="s">
        <v>1595</v>
      </c>
      <c r="B82" s="2" t="s">
        <v>34</v>
      </c>
      <c r="C82" s="2" t="s">
        <v>35</v>
      </c>
      <c r="D82" s="2" t="n">
        <v>2</v>
      </c>
      <c r="E82" s="2" t="s">
        <v>1596</v>
      </c>
      <c r="F82" s="2" t="s">
        <v>223</v>
      </c>
      <c r="G82" s="2" t="s">
        <v>264</v>
      </c>
      <c r="H82" s="2" t="s">
        <v>1597</v>
      </c>
      <c r="I82" s="2" t="s">
        <v>1598</v>
      </c>
      <c r="J82" s="2" t="s">
        <v>226</v>
      </c>
      <c r="K82" s="2" t="s">
        <v>690</v>
      </c>
      <c r="L82" s="2" t="s">
        <v>781</v>
      </c>
      <c r="M82" s="2" t="s">
        <v>1582</v>
      </c>
      <c r="N82" s="2" t="s">
        <v>1599</v>
      </c>
      <c r="O82" s="2" t="s">
        <v>1600</v>
      </c>
      <c r="P82" s="2" t="s">
        <v>1601</v>
      </c>
      <c r="Q82" s="2" t="s">
        <v>1602</v>
      </c>
      <c r="R82" s="2" t="s">
        <v>1603</v>
      </c>
      <c r="S82" s="2" t="s">
        <v>50</v>
      </c>
      <c r="T82" s="2" t="s">
        <v>1604</v>
      </c>
      <c r="U82" s="2" t="s">
        <v>1605</v>
      </c>
      <c r="V82" s="2"/>
      <c r="W82" s="2" t="s">
        <v>1606</v>
      </c>
      <c r="X82" s="2" t="s">
        <v>1607</v>
      </c>
      <c r="Y82" s="2" t="s">
        <v>1608</v>
      </c>
      <c r="Z82" s="2" t="s">
        <v>1609</v>
      </c>
      <c r="AA82" s="2"/>
      <c r="AB82" s="2"/>
      <c r="AC82" s="2" t="s">
        <v>1610</v>
      </c>
      <c r="AD82" s="2"/>
      <c r="AE82" s="2" t="s">
        <v>58</v>
      </c>
      <c r="AF82" s="2"/>
      <c r="AG82" s="3" t="str">
        <f aca="false">IF(A82="","",IF(COUNTA(O82:R82)&lt;4,"Needs 4 options",IF(ISERROR(FIND(UPPER(S82),"ABCD"))+(LEN(S82)&lt;&gt;1),"Answer must be A-D",IF(OR(D82&lt;1,D82&gt;3),"Difficulty must be 1-3",IF(OR(N82="",T82=""),"Missing question or explanation",IF(COUNTBLANK(U82:X82)&lt;&gt;1,"Need 3 why-not texts",IF(INDEX(U82:X82,1,FIND(UPPER(S82),"ABCD"))&lt;&gt;"","Why-not filled for the answer",IF(AND(B82&lt;&gt;"live",B82&lt;&gt;"draft",B82&lt;&gt;"retired"),"Status must be live/draft/retired","OK"))))))))</f>
        <v>OK</v>
      </c>
    </row>
    <row r="83" customFormat="false" ht="46.25" hidden="false" customHeight="false" outlineLevel="0" collapsed="false">
      <c r="A83" s="2" t="s">
        <v>1611</v>
      </c>
      <c r="B83" s="2" t="s">
        <v>34</v>
      </c>
      <c r="C83" s="2" t="s">
        <v>35</v>
      </c>
      <c r="D83" s="2" t="n">
        <v>1</v>
      </c>
      <c r="E83" s="2" t="s">
        <v>1612</v>
      </c>
      <c r="F83" s="2" t="s">
        <v>223</v>
      </c>
      <c r="G83" s="2" t="s">
        <v>323</v>
      </c>
      <c r="H83" s="2" t="s">
        <v>160</v>
      </c>
      <c r="I83" s="2" t="s">
        <v>1613</v>
      </c>
      <c r="J83" s="2" t="s">
        <v>922</v>
      </c>
      <c r="K83" s="2" t="s">
        <v>1614</v>
      </c>
      <c r="L83" s="2" t="s">
        <v>549</v>
      </c>
      <c r="M83" s="2" t="s">
        <v>1615</v>
      </c>
      <c r="N83" s="2" t="s">
        <v>1616</v>
      </c>
      <c r="O83" s="2" t="s">
        <v>1617</v>
      </c>
      <c r="P83" s="2" t="s">
        <v>1618</v>
      </c>
      <c r="Q83" s="2" t="s">
        <v>1619</v>
      </c>
      <c r="R83" s="2" t="s">
        <v>1620</v>
      </c>
      <c r="S83" s="2" t="s">
        <v>50</v>
      </c>
      <c r="T83" s="2" t="s">
        <v>1621</v>
      </c>
      <c r="U83" s="2" t="s">
        <v>1622</v>
      </c>
      <c r="V83" s="2"/>
      <c r="W83" s="2" t="s">
        <v>1623</v>
      </c>
      <c r="X83" s="2" t="s">
        <v>1624</v>
      </c>
      <c r="Y83" s="2" t="s">
        <v>1625</v>
      </c>
      <c r="Z83" s="2" t="s">
        <v>1626</v>
      </c>
      <c r="AA83" s="2"/>
      <c r="AB83" s="2"/>
      <c r="AC83" s="2" t="s">
        <v>1627</v>
      </c>
      <c r="AD83" s="2"/>
      <c r="AE83" s="2" t="s">
        <v>58</v>
      </c>
      <c r="AF83" s="2"/>
      <c r="AG83" s="3" t="str">
        <f aca="false">IF(A83="","",IF(COUNTA(O83:R83)&lt;4,"Needs 4 options",IF(ISERROR(FIND(UPPER(S83),"ABCD"))+(LEN(S83)&lt;&gt;1),"Answer must be A-D",IF(OR(D83&lt;1,D83&gt;3),"Difficulty must be 1-3",IF(OR(N83="",T83=""),"Missing question or explanation",IF(COUNTBLANK(U83:X83)&lt;&gt;1,"Need 3 why-not texts",IF(INDEX(U83:X83,1,FIND(UPPER(S83),"ABCD"))&lt;&gt;"","Why-not filled for the answer",IF(AND(B83&lt;&gt;"live",B83&lt;&gt;"draft",B83&lt;&gt;"retired"),"Status must be live/draft/retired","OK"))))))))</f>
        <v>OK</v>
      </c>
    </row>
    <row r="84" customFormat="false" ht="46.25" hidden="false" customHeight="false" outlineLevel="0" collapsed="false">
      <c r="A84" s="2" t="s">
        <v>1628</v>
      </c>
      <c r="B84" s="2" t="s">
        <v>34</v>
      </c>
      <c r="C84" s="2" t="s">
        <v>35</v>
      </c>
      <c r="D84" s="2" t="n">
        <v>3</v>
      </c>
      <c r="E84" s="2" t="s">
        <v>1629</v>
      </c>
      <c r="F84" s="2" t="s">
        <v>223</v>
      </c>
      <c r="G84" s="2" t="s">
        <v>1630</v>
      </c>
      <c r="H84" s="2" t="s">
        <v>1631</v>
      </c>
      <c r="I84" s="2" t="s">
        <v>1632</v>
      </c>
      <c r="J84" s="2" t="s">
        <v>1633</v>
      </c>
      <c r="K84" s="2" t="s">
        <v>1634</v>
      </c>
      <c r="L84" s="2" t="s">
        <v>1635</v>
      </c>
      <c r="M84" s="2" t="s">
        <v>1636</v>
      </c>
      <c r="N84" s="2" t="s">
        <v>1637</v>
      </c>
      <c r="O84" s="2" t="s">
        <v>1638</v>
      </c>
      <c r="P84" s="2" t="s">
        <v>1639</v>
      </c>
      <c r="Q84" s="2" t="s">
        <v>1640</v>
      </c>
      <c r="R84" s="2" t="s">
        <v>1641</v>
      </c>
      <c r="S84" s="2" t="s">
        <v>50</v>
      </c>
      <c r="T84" s="2" t="s">
        <v>1642</v>
      </c>
      <c r="U84" s="2" t="s">
        <v>1643</v>
      </c>
      <c r="V84" s="2"/>
      <c r="W84" s="2" t="s">
        <v>1644</v>
      </c>
      <c r="X84" s="2" t="s">
        <v>1645</v>
      </c>
      <c r="Y84" s="2" t="s">
        <v>1646</v>
      </c>
      <c r="Z84" s="2" t="s">
        <v>1647</v>
      </c>
      <c r="AA84" s="2"/>
      <c r="AB84" s="2"/>
      <c r="AC84" s="2" t="s">
        <v>1648</v>
      </c>
      <c r="AD84" s="2"/>
      <c r="AE84" s="2" t="s">
        <v>58</v>
      </c>
      <c r="AF84" s="2"/>
      <c r="AG84" s="3" t="str">
        <f aca="false">IF(A84="","",IF(COUNTA(O84:R84)&lt;4,"Needs 4 options",IF(ISERROR(FIND(UPPER(S84),"ABCD"))+(LEN(S84)&lt;&gt;1),"Answer must be A-D",IF(OR(D84&lt;1,D84&gt;3),"Difficulty must be 1-3",IF(OR(N84="",T84=""),"Missing question or explanation",IF(COUNTBLANK(U84:X84)&lt;&gt;1,"Need 3 why-not texts",IF(INDEX(U84:X84,1,FIND(UPPER(S84),"ABCD"))&lt;&gt;"","Why-not filled for the answer",IF(AND(B84&lt;&gt;"live",B84&lt;&gt;"draft",B84&lt;&gt;"retired"),"Status must be live/draft/retired","OK"))))))))</f>
        <v>OK</v>
      </c>
    </row>
    <row r="85" customFormat="false" ht="68.65" hidden="false" customHeight="false" outlineLevel="0" collapsed="false">
      <c r="A85" s="2" t="s">
        <v>1649</v>
      </c>
      <c r="B85" s="2" t="s">
        <v>34</v>
      </c>
      <c r="C85" s="2" t="s">
        <v>35</v>
      </c>
      <c r="D85" s="2" t="n">
        <v>2</v>
      </c>
      <c r="E85" s="2" t="s">
        <v>1650</v>
      </c>
      <c r="F85" s="2" t="s">
        <v>1651</v>
      </c>
      <c r="G85" s="2" t="s">
        <v>1652</v>
      </c>
      <c r="H85" s="2" t="s">
        <v>246</v>
      </c>
      <c r="I85" s="2" t="s">
        <v>1653</v>
      </c>
      <c r="J85" s="2" t="s">
        <v>1654</v>
      </c>
      <c r="K85" s="2" t="s">
        <v>1655</v>
      </c>
      <c r="L85" s="2" t="s">
        <v>549</v>
      </c>
      <c r="M85" s="2" t="s">
        <v>1656</v>
      </c>
      <c r="N85" s="2" t="s">
        <v>1657</v>
      </c>
      <c r="O85" s="2" t="s">
        <v>1658</v>
      </c>
      <c r="P85" s="2" t="s">
        <v>1659</v>
      </c>
      <c r="Q85" s="2" t="s">
        <v>1660</v>
      </c>
      <c r="R85" s="2" t="s">
        <v>1661</v>
      </c>
      <c r="S85" s="2" t="s">
        <v>50</v>
      </c>
      <c r="T85" s="2" t="s">
        <v>1662</v>
      </c>
      <c r="U85" s="2" t="s">
        <v>1663</v>
      </c>
      <c r="V85" s="2"/>
      <c r="W85" s="2" t="s">
        <v>1664</v>
      </c>
      <c r="X85" s="2" t="s">
        <v>1665</v>
      </c>
      <c r="Y85" s="2" t="s">
        <v>1666</v>
      </c>
      <c r="Z85" s="2" t="s">
        <v>1667</v>
      </c>
      <c r="AA85" s="2" t="s">
        <v>1668</v>
      </c>
      <c r="AB85" s="2" t="s">
        <v>1669</v>
      </c>
      <c r="AC85" s="2" t="s">
        <v>1670</v>
      </c>
      <c r="AD85" s="2"/>
      <c r="AE85" s="2" t="s">
        <v>58</v>
      </c>
      <c r="AF85" s="2"/>
      <c r="AG85" s="3" t="str">
        <f aca="false">IF(A85="","",IF(COUNTA(O85:R85)&lt;4,"Needs 4 options",IF(ISERROR(FIND(UPPER(S85),"ABCD"))+(LEN(S85)&lt;&gt;1),"Answer must be A-D",IF(OR(D85&lt;1,D85&gt;3),"Difficulty must be 1-3",IF(OR(N85="",T85=""),"Missing question or explanation",IF(COUNTBLANK(U85:X85)&lt;&gt;1,"Need 3 why-not texts",IF(INDEX(U85:X85,1,FIND(UPPER(S85),"ABCD"))&lt;&gt;"","Why-not filled for the answer",IF(AND(B85&lt;&gt;"live",B85&lt;&gt;"draft",B85&lt;&gt;"retired"),"Status must be live/draft/retired","OK"))))))))</f>
        <v>OK</v>
      </c>
    </row>
    <row r="86" customFormat="false" ht="124.6" hidden="false" customHeight="false" outlineLevel="0" collapsed="false">
      <c r="A86" s="2" t="s">
        <v>1671</v>
      </c>
      <c r="B86" s="2" t="s">
        <v>34</v>
      </c>
      <c r="C86" s="2" t="s">
        <v>35</v>
      </c>
      <c r="D86" s="2" t="n">
        <v>1</v>
      </c>
      <c r="E86" s="2" t="s">
        <v>1672</v>
      </c>
      <c r="F86" s="2" t="s">
        <v>37</v>
      </c>
      <c r="G86" s="2" t="s">
        <v>1673</v>
      </c>
      <c r="H86" s="2" t="s">
        <v>1674</v>
      </c>
      <c r="I86" s="2" t="s">
        <v>1675</v>
      </c>
      <c r="J86" s="2" t="s">
        <v>85</v>
      </c>
      <c r="K86" s="2" t="s">
        <v>86</v>
      </c>
      <c r="L86" s="2" t="s">
        <v>43</v>
      </c>
      <c r="M86" s="2" t="s">
        <v>44</v>
      </c>
      <c r="N86" s="2" t="s">
        <v>1676</v>
      </c>
      <c r="O86" s="2" t="s">
        <v>1677</v>
      </c>
      <c r="P86" s="2" t="s">
        <v>1678</v>
      </c>
      <c r="Q86" s="2" t="s">
        <v>1679</v>
      </c>
      <c r="R86" s="2" t="s">
        <v>1680</v>
      </c>
      <c r="S86" s="2" t="s">
        <v>50</v>
      </c>
      <c r="T86" s="2" t="s">
        <v>1681</v>
      </c>
      <c r="U86" s="2" t="s">
        <v>1682</v>
      </c>
      <c r="V86" s="2"/>
      <c r="W86" s="2" t="s">
        <v>1683</v>
      </c>
      <c r="X86" s="2" t="s">
        <v>1684</v>
      </c>
      <c r="Y86" s="2" t="s">
        <v>1685</v>
      </c>
      <c r="Z86" s="2" t="s">
        <v>1686</v>
      </c>
      <c r="AA86" s="2"/>
      <c r="AB86" s="2"/>
      <c r="AC86" s="2" t="s">
        <v>1687</v>
      </c>
      <c r="AD86" s="2"/>
      <c r="AE86" s="2" t="s">
        <v>58</v>
      </c>
      <c r="AF86" s="2"/>
      <c r="AG86" s="3" t="str">
        <f aca="false">IF(A86="","",IF(COUNTA(O86:R86)&lt;4,"Needs 4 options",IF(ISERROR(FIND(UPPER(S86),"ABCD"))+(LEN(S86)&lt;&gt;1),"Answer must be A-D",IF(OR(D86&lt;1,D86&gt;3),"Difficulty must be 1-3",IF(OR(N86="",T86=""),"Missing question or explanation",IF(COUNTBLANK(U86:X86)&lt;&gt;1,"Need 3 why-not texts",IF(INDEX(U86:X86,1,FIND(UPPER(S86),"ABCD"))&lt;&gt;"","Why-not filled for the answer",IF(AND(B86&lt;&gt;"live",B86&lt;&gt;"draft",B86&lt;&gt;"retired"),"Status must be live/draft/retired","OK"))))))))</f>
        <v>OK</v>
      </c>
    </row>
    <row r="87" customFormat="false" ht="46.25" hidden="false" customHeight="false" outlineLevel="0" collapsed="false">
      <c r="A87" s="2" t="s">
        <v>1688</v>
      </c>
      <c r="B87" s="2" t="s">
        <v>34</v>
      </c>
      <c r="C87" s="2" t="s">
        <v>35</v>
      </c>
      <c r="D87" s="2" t="n">
        <v>2</v>
      </c>
      <c r="E87" s="2" t="s">
        <v>1689</v>
      </c>
      <c r="F87" s="2" t="s">
        <v>223</v>
      </c>
      <c r="G87" s="2" t="s">
        <v>264</v>
      </c>
      <c r="H87" s="2" t="s">
        <v>1690</v>
      </c>
      <c r="I87" s="2" t="s">
        <v>1691</v>
      </c>
      <c r="J87" s="2" t="s">
        <v>1692</v>
      </c>
      <c r="K87" s="2" t="s">
        <v>1693</v>
      </c>
      <c r="L87" s="2" t="s">
        <v>246</v>
      </c>
      <c r="M87" s="2" t="s">
        <v>1694</v>
      </c>
      <c r="N87" s="2" t="s">
        <v>1695</v>
      </c>
      <c r="O87" s="2" t="s">
        <v>1696</v>
      </c>
      <c r="P87" s="2" t="s">
        <v>1697</v>
      </c>
      <c r="Q87" s="2" t="s">
        <v>1698</v>
      </c>
      <c r="R87" s="2" t="s">
        <v>1699</v>
      </c>
      <c r="S87" s="2" t="s">
        <v>50</v>
      </c>
      <c r="T87" s="2" t="s">
        <v>1700</v>
      </c>
      <c r="U87" s="2" t="s">
        <v>1701</v>
      </c>
      <c r="V87" s="2"/>
      <c r="W87" s="2" t="s">
        <v>1702</v>
      </c>
      <c r="X87" s="2" t="s">
        <v>1703</v>
      </c>
      <c r="Y87" s="2" t="s">
        <v>1704</v>
      </c>
      <c r="Z87" s="2" t="s">
        <v>1705</v>
      </c>
      <c r="AA87" s="2"/>
      <c r="AB87" s="2"/>
      <c r="AC87" s="2" t="s">
        <v>1706</v>
      </c>
      <c r="AD87" s="2"/>
      <c r="AE87" s="2" t="s">
        <v>58</v>
      </c>
      <c r="AF87" s="2"/>
      <c r="AG87" s="3" t="str">
        <f aca="false">IF(A87="","",IF(COUNTA(O87:R87)&lt;4,"Needs 4 options",IF(ISERROR(FIND(UPPER(S87),"ABCD"))+(LEN(S87)&lt;&gt;1),"Answer must be A-D",IF(OR(D87&lt;1,D87&gt;3),"Difficulty must be 1-3",IF(OR(N87="",T87=""),"Missing question or explanation",IF(COUNTBLANK(U87:X87)&lt;&gt;1,"Need 3 why-not texts",IF(INDEX(U87:X87,1,FIND(UPPER(S87),"ABCD"))&lt;&gt;"","Why-not filled for the answer",IF(AND(B87&lt;&gt;"live",B87&lt;&gt;"draft",B87&lt;&gt;"retired"),"Status must be live/draft/retired","OK"))))))))</f>
        <v>OK</v>
      </c>
    </row>
    <row r="88" customFormat="false" ht="35.05" hidden="false" customHeight="false" outlineLevel="0" collapsed="false">
      <c r="A88" s="2" t="s">
        <v>1707</v>
      </c>
      <c r="B88" s="2" t="s">
        <v>34</v>
      </c>
      <c r="C88" s="2" t="s">
        <v>35</v>
      </c>
      <c r="D88" s="2" t="n">
        <v>1</v>
      </c>
      <c r="E88" s="2" t="s">
        <v>1708</v>
      </c>
      <c r="F88" s="2" t="s">
        <v>37</v>
      </c>
      <c r="G88" s="2" t="s">
        <v>1709</v>
      </c>
      <c r="H88" s="2" t="s">
        <v>1327</v>
      </c>
      <c r="I88" s="2" t="s">
        <v>1710</v>
      </c>
      <c r="J88" s="2" t="s">
        <v>1711</v>
      </c>
      <c r="K88" s="2" t="s">
        <v>1712</v>
      </c>
      <c r="L88" s="2" t="s">
        <v>1713</v>
      </c>
      <c r="M88" s="2" t="s">
        <v>1714</v>
      </c>
      <c r="N88" s="2" t="s">
        <v>1715</v>
      </c>
      <c r="O88" s="2" t="s">
        <v>1716</v>
      </c>
      <c r="P88" s="2" t="s">
        <v>1717</v>
      </c>
      <c r="Q88" s="2" t="s">
        <v>1718</v>
      </c>
      <c r="R88" s="2" t="s">
        <v>1719</v>
      </c>
      <c r="S88" s="2" t="s">
        <v>50</v>
      </c>
      <c r="T88" s="2" t="s">
        <v>1720</v>
      </c>
      <c r="U88" s="2" t="s">
        <v>1721</v>
      </c>
      <c r="V88" s="2"/>
      <c r="W88" s="2" t="s">
        <v>1722</v>
      </c>
      <c r="X88" s="2" t="s">
        <v>1723</v>
      </c>
      <c r="Y88" s="2" t="s">
        <v>1724</v>
      </c>
      <c r="Z88" s="2" t="s">
        <v>1725</v>
      </c>
      <c r="AA88" s="2" t="s">
        <v>1726</v>
      </c>
      <c r="AB88" s="2" t="s">
        <v>1727</v>
      </c>
      <c r="AC88" s="2" t="s">
        <v>1728</v>
      </c>
      <c r="AD88" s="2"/>
      <c r="AE88" s="2" t="s">
        <v>58</v>
      </c>
      <c r="AF88" s="2"/>
      <c r="AG88" s="3" t="str">
        <f aca="false">IF(A88="","",IF(COUNTA(O88:R88)&lt;4,"Needs 4 options",IF(ISERROR(FIND(UPPER(S88),"ABCD"))+(LEN(S88)&lt;&gt;1),"Answer must be A-D",IF(OR(D88&lt;1,D88&gt;3),"Difficulty must be 1-3",IF(OR(N88="",T88=""),"Missing question or explanation",IF(COUNTBLANK(U88:X88)&lt;&gt;1,"Need 3 why-not texts",IF(INDEX(U88:X88,1,FIND(UPPER(S88),"ABCD"))&lt;&gt;"","Why-not filled for the answer",IF(AND(B88&lt;&gt;"live",B88&lt;&gt;"draft",B88&lt;&gt;"retired"),"Status must be live/draft/retired","OK"))))))))</f>
        <v>OK</v>
      </c>
    </row>
    <row r="89" customFormat="false" ht="35.05" hidden="false" customHeight="false" outlineLevel="0" collapsed="false">
      <c r="A89" s="2" t="s">
        <v>1729</v>
      </c>
      <c r="B89" s="2" t="s">
        <v>34</v>
      </c>
      <c r="C89" s="2" t="s">
        <v>35</v>
      </c>
      <c r="D89" s="2" t="n">
        <v>3</v>
      </c>
      <c r="E89" s="2" t="s">
        <v>1730</v>
      </c>
      <c r="F89" s="2" t="s">
        <v>37</v>
      </c>
      <c r="G89" s="2" t="s">
        <v>1731</v>
      </c>
      <c r="H89" s="2" t="s">
        <v>1732</v>
      </c>
      <c r="I89" s="2" t="s">
        <v>1733</v>
      </c>
      <c r="J89" s="2" t="s">
        <v>1734</v>
      </c>
      <c r="K89" s="2" t="s">
        <v>784</v>
      </c>
      <c r="L89" s="2" t="s">
        <v>1735</v>
      </c>
      <c r="M89" s="2" t="s">
        <v>1736</v>
      </c>
      <c r="N89" s="2" t="s">
        <v>1737</v>
      </c>
      <c r="O89" s="2" t="s">
        <v>1738</v>
      </c>
      <c r="P89" s="2" t="s">
        <v>1739</v>
      </c>
      <c r="Q89" s="2" t="s">
        <v>1740</v>
      </c>
      <c r="R89" s="2" t="s">
        <v>1741</v>
      </c>
      <c r="S89" s="2" t="s">
        <v>50</v>
      </c>
      <c r="T89" s="2" t="s">
        <v>1742</v>
      </c>
      <c r="U89" s="2" t="s">
        <v>1743</v>
      </c>
      <c r="V89" s="2"/>
      <c r="W89" s="2" t="s">
        <v>1744</v>
      </c>
      <c r="X89" s="2" t="s">
        <v>1745</v>
      </c>
      <c r="Y89" s="2" t="s">
        <v>1746</v>
      </c>
      <c r="Z89" s="2" t="s">
        <v>1747</v>
      </c>
      <c r="AA89" s="2" t="s">
        <v>1748</v>
      </c>
      <c r="AB89" s="2" t="s">
        <v>1749</v>
      </c>
      <c r="AC89" s="2" t="s">
        <v>1750</v>
      </c>
      <c r="AD89" s="2"/>
      <c r="AE89" s="2" t="s">
        <v>58</v>
      </c>
      <c r="AF89" s="2"/>
      <c r="AG89" s="3" t="str">
        <f aca="false">IF(A89="","",IF(COUNTA(O89:R89)&lt;4,"Needs 4 options",IF(ISERROR(FIND(UPPER(S89),"ABCD"))+(LEN(S89)&lt;&gt;1),"Answer must be A-D",IF(OR(D89&lt;1,D89&gt;3),"Difficulty must be 1-3",IF(OR(N89="",T89=""),"Missing question or explanation",IF(COUNTBLANK(U89:X89)&lt;&gt;1,"Need 3 why-not texts",IF(INDEX(U89:X89,1,FIND(UPPER(S89),"ABCD"))&lt;&gt;"","Why-not filled for the answer",IF(AND(B89&lt;&gt;"live",B89&lt;&gt;"draft",B89&lt;&gt;"retired"),"Status must be live/draft/retired","OK"))))))))</f>
        <v>OK</v>
      </c>
    </row>
    <row r="90" customFormat="false" ht="35.05" hidden="false" customHeight="false" outlineLevel="0" collapsed="false">
      <c r="A90" s="2" t="s">
        <v>1751</v>
      </c>
      <c r="B90" s="2" t="s">
        <v>34</v>
      </c>
      <c r="C90" s="2" t="s">
        <v>35</v>
      </c>
      <c r="D90" s="2" t="n">
        <v>3</v>
      </c>
      <c r="E90" s="2" t="s">
        <v>1752</v>
      </c>
      <c r="F90" s="2" t="s">
        <v>37</v>
      </c>
      <c r="G90" s="2" t="s">
        <v>1753</v>
      </c>
      <c r="H90" s="2" t="s">
        <v>1327</v>
      </c>
      <c r="I90" s="2" t="s">
        <v>1754</v>
      </c>
      <c r="J90" s="2" t="s">
        <v>549</v>
      </c>
      <c r="K90" s="2" t="s">
        <v>1755</v>
      </c>
      <c r="L90" s="2" t="s">
        <v>1756</v>
      </c>
      <c r="M90" s="2" t="s">
        <v>1757</v>
      </c>
      <c r="N90" s="2" t="s">
        <v>1758</v>
      </c>
      <c r="O90" s="2" t="s">
        <v>1759</v>
      </c>
      <c r="P90" s="2" t="s">
        <v>1760</v>
      </c>
      <c r="Q90" s="2" t="s">
        <v>1761</v>
      </c>
      <c r="R90" s="2" t="s">
        <v>1762</v>
      </c>
      <c r="S90" s="2" t="s">
        <v>50</v>
      </c>
      <c r="T90" s="2" t="s">
        <v>1763</v>
      </c>
      <c r="U90" s="2" t="s">
        <v>1764</v>
      </c>
      <c r="V90" s="2"/>
      <c r="W90" s="2" t="s">
        <v>1765</v>
      </c>
      <c r="X90" s="2" t="s">
        <v>1766</v>
      </c>
      <c r="Y90" s="2" t="s">
        <v>1767</v>
      </c>
      <c r="Z90" s="2" t="s">
        <v>1768</v>
      </c>
      <c r="AA90" s="2"/>
      <c r="AB90" s="2"/>
      <c r="AC90" s="2" t="s">
        <v>1769</v>
      </c>
      <c r="AD90" s="2"/>
      <c r="AE90" s="2" t="s">
        <v>58</v>
      </c>
      <c r="AF90" s="2"/>
      <c r="AG90" s="3" t="str">
        <f aca="false">IF(A90="","",IF(COUNTA(O90:R90)&lt;4,"Needs 4 options",IF(ISERROR(FIND(UPPER(S90),"ABCD"))+(LEN(S90)&lt;&gt;1),"Answer must be A-D",IF(OR(D90&lt;1,D90&gt;3),"Difficulty must be 1-3",IF(OR(N90="",T90=""),"Missing question or explanation",IF(COUNTBLANK(U90:X90)&lt;&gt;1,"Need 3 why-not texts",IF(INDEX(U90:X90,1,FIND(UPPER(S90),"ABCD"))&lt;&gt;"","Why-not filled for the answer",IF(AND(B90&lt;&gt;"live",B90&lt;&gt;"draft",B90&lt;&gt;"retired"),"Status must be live/draft/retired","OK"))))))))</f>
        <v>OK</v>
      </c>
    </row>
    <row r="91" customFormat="false" ht="35.05" hidden="false" customHeight="false" outlineLevel="0" collapsed="false">
      <c r="A91" s="2" t="s">
        <v>1770</v>
      </c>
      <c r="B91" s="2" t="s">
        <v>34</v>
      </c>
      <c r="C91" s="2" t="s">
        <v>35</v>
      </c>
      <c r="D91" s="2" t="n">
        <v>2</v>
      </c>
      <c r="E91" s="2" t="s">
        <v>1771</v>
      </c>
      <c r="F91" s="2" t="s">
        <v>37</v>
      </c>
      <c r="G91" s="2" t="s">
        <v>362</v>
      </c>
      <c r="H91" s="2" t="s">
        <v>1772</v>
      </c>
      <c r="I91" s="2" t="s">
        <v>1773</v>
      </c>
      <c r="J91" s="2" t="s">
        <v>1774</v>
      </c>
      <c r="K91" s="2" t="s">
        <v>1775</v>
      </c>
      <c r="L91" s="2" t="s">
        <v>1711</v>
      </c>
      <c r="M91" s="2" t="s">
        <v>1776</v>
      </c>
      <c r="N91" s="2" t="s">
        <v>1777</v>
      </c>
      <c r="O91" s="2" t="s">
        <v>1778</v>
      </c>
      <c r="P91" s="2" t="s">
        <v>1779</v>
      </c>
      <c r="Q91" s="2" t="s">
        <v>1780</v>
      </c>
      <c r="R91" s="2" t="s">
        <v>1781</v>
      </c>
      <c r="S91" s="2" t="s">
        <v>50</v>
      </c>
      <c r="T91" s="2" t="s">
        <v>1782</v>
      </c>
      <c r="U91" s="2" t="s">
        <v>1783</v>
      </c>
      <c r="V91" s="2"/>
      <c r="W91" s="2" t="s">
        <v>1784</v>
      </c>
      <c r="X91" s="2" t="s">
        <v>1785</v>
      </c>
      <c r="Y91" s="2" t="s">
        <v>1786</v>
      </c>
      <c r="Z91" s="2" t="s">
        <v>1787</v>
      </c>
      <c r="AA91" s="2"/>
      <c r="AB91" s="2"/>
      <c r="AC91" s="2" t="s">
        <v>1788</v>
      </c>
      <c r="AD91" s="2"/>
      <c r="AE91" s="2" t="s">
        <v>58</v>
      </c>
      <c r="AF91" s="2"/>
      <c r="AG91" s="3" t="str">
        <f aca="false">IF(A91="","",IF(COUNTA(O91:R91)&lt;4,"Needs 4 options",IF(ISERROR(FIND(UPPER(S91),"ABCD"))+(LEN(S91)&lt;&gt;1),"Answer must be A-D",IF(OR(D91&lt;1,D91&gt;3),"Difficulty must be 1-3",IF(OR(N91="",T91=""),"Missing question or explanation",IF(COUNTBLANK(U91:X91)&lt;&gt;1,"Need 3 why-not texts",IF(INDEX(U91:X91,1,FIND(UPPER(S91),"ABCD"))&lt;&gt;"","Why-not filled for the answer",IF(AND(B91&lt;&gt;"live",B91&lt;&gt;"draft",B91&lt;&gt;"retired"),"Status must be live/draft/retired","OK"))))))))</f>
        <v>OK</v>
      </c>
    </row>
    <row r="92" customFormat="false" ht="113.4" hidden="false" customHeight="false" outlineLevel="0" collapsed="false">
      <c r="A92" s="2" t="s">
        <v>1789</v>
      </c>
      <c r="B92" s="2" t="s">
        <v>34</v>
      </c>
      <c r="C92" s="2" t="s">
        <v>35</v>
      </c>
      <c r="D92" s="2" t="n">
        <v>3</v>
      </c>
      <c r="E92" s="2" t="s">
        <v>1790</v>
      </c>
      <c r="F92" s="2" t="s">
        <v>1021</v>
      </c>
      <c r="G92" s="2" t="s">
        <v>1791</v>
      </c>
      <c r="H92" s="2" t="s">
        <v>1792</v>
      </c>
      <c r="I92" s="2" t="s">
        <v>1793</v>
      </c>
      <c r="J92" s="2" t="s">
        <v>363</v>
      </c>
      <c r="K92" s="2" t="s">
        <v>1794</v>
      </c>
      <c r="L92" s="2" t="s">
        <v>105</v>
      </c>
      <c r="M92" s="2" t="s">
        <v>1795</v>
      </c>
      <c r="N92" s="2" t="s">
        <v>1796</v>
      </c>
      <c r="O92" s="2" t="s">
        <v>1797</v>
      </c>
      <c r="P92" s="2" t="s">
        <v>1798</v>
      </c>
      <c r="Q92" s="2" t="s">
        <v>1799</v>
      </c>
      <c r="R92" s="2" t="s">
        <v>1800</v>
      </c>
      <c r="S92" s="2" t="s">
        <v>50</v>
      </c>
      <c r="T92" s="2" t="s">
        <v>1801</v>
      </c>
      <c r="U92" s="2" t="s">
        <v>1802</v>
      </c>
      <c r="V92" s="2"/>
      <c r="W92" s="2" t="s">
        <v>1803</v>
      </c>
      <c r="X92" s="2" t="s">
        <v>1483</v>
      </c>
      <c r="Y92" s="2" t="s">
        <v>1804</v>
      </c>
      <c r="Z92" s="2" t="s">
        <v>1805</v>
      </c>
      <c r="AA92" s="2"/>
      <c r="AB92" s="2"/>
      <c r="AC92" s="2" t="s">
        <v>1806</v>
      </c>
      <c r="AD92" s="2"/>
      <c r="AE92" s="2" t="s">
        <v>58</v>
      </c>
      <c r="AF92" s="2"/>
      <c r="AG92" s="3" t="str">
        <f aca="false">IF(A92="","",IF(COUNTA(O92:R92)&lt;4,"Needs 4 options",IF(ISERROR(FIND(UPPER(S92),"ABCD"))+(LEN(S92)&lt;&gt;1),"Answer must be A-D",IF(OR(D92&lt;1,D92&gt;3),"Difficulty must be 1-3",IF(OR(N92="",T92=""),"Missing question or explanation",IF(COUNTBLANK(U92:X92)&lt;&gt;1,"Need 3 why-not texts",IF(INDEX(U92:X92,1,FIND(UPPER(S92),"ABCD"))&lt;&gt;"","Why-not filled for the answer",IF(AND(B92&lt;&gt;"live",B92&lt;&gt;"draft",B92&lt;&gt;"retired"),"Status must be live/draft/retired","OK"))))))))</f>
        <v>OK</v>
      </c>
    </row>
    <row r="93" customFormat="false" ht="23.85" hidden="false" customHeight="false" outlineLevel="0" collapsed="false">
      <c r="A93" s="2" t="s">
        <v>1807</v>
      </c>
      <c r="B93" s="2" t="s">
        <v>34</v>
      </c>
      <c r="C93" s="2" t="s">
        <v>35</v>
      </c>
      <c r="D93" s="2" t="n">
        <v>1</v>
      </c>
      <c r="E93" s="2" t="s">
        <v>1808</v>
      </c>
      <c r="F93" s="2" t="s">
        <v>37</v>
      </c>
      <c r="G93" s="2" t="s">
        <v>1809</v>
      </c>
      <c r="H93" s="2" t="s">
        <v>1810</v>
      </c>
      <c r="I93" s="2" t="s">
        <v>1811</v>
      </c>
      <c r="J93" s="2" t="s">
        <v>1795</v>
      </c>
      <c r="K93" s="2" t="s">
        <v>1812</v>
      </c>
      <c r="L93" s="2" t="s">
        <v>937</v>
      </c>
      <c r="M93" s="2" t="s">
        <v>1813</v>
      </c>
      <c r="N93" s="2" t="s">
        <v>1814</v>
      </c>
      <c r="O93" s="2" t="s">
        <v>1815</v>
      </c>
      <c r="P93" s="2" t="s">
        <v>1816</v>
      </c>
      <c r="Q93" s="2" t="s">
        <v>1817</v>
      </c>
      <c r="R93" s="2" t="s">
        <v>1818</v>
      </c>
      <c r="S93" s="2" t="s">
        <v>50</v>
      </c>
      <c r="T93" s="2" t="s">
        <v>1819</v>
      </c>
      <c r="U93" s="2" t="s">
        <v>1820</v>
      </c>
      <c r="V93" s="2"/>
      <c r="W93" s="2" t="s">
        <v>1821</v>
      </c>
      <c r="X93" s="2" t="s">
        <v>1822</v>
      </c>
      <c r="Y93" s="2" t="s">
        <v>1823</v>
      </c>
      <c r="Z93" s="2" t="s">
        <v>1824</v>
      </c>
      <c r="AA93" s="2"/>
      <c r="AB93" s="2"/>
      <c r="AC93" s="2" t="s">
        <v>1825</v>
      </c>
      <c r="AD93" s="2"/>
      <c r="AE93" s="2" t="s">
        <v>58</v>
      </c>
      <c r="AF93" s="2"/>
      <c r="AG93" s="3" t="str">
        <f aca="false">IF(A93="","",IF(COUNTA(O93:R93)&lt;4,"Needs 4 options",IF(ISERROR(FIND(UPPER(S93),"ABCD"))+(LEN(S93)&lt;&gt;1),"Answer must be A-D",IF(OR(D93&lt;1,D93&gt;3),"Difficulty must be 1-3",IF(OR(N93="",T93=""),"Missing question or explanation",IF(COUNTBLANK(U93:X93)&lt;&gt;1,"Need 3 why-not texts",IF(INDEX(U93:X93,1,FIND(UPPER(S93),"ABCD"))&lt;&gt;"","Why-not filled for the answer",IF(AND(B93&lt;&gt;"live",B93&lt;&gt;"draft",B93&lt;&gt;"retired"),"Status must be live/draft/retired","OK"))))))))</f>
        <v>OK</v>
      </c>
    </row>
    <row r="94" customFormat="false" ht="79.85" hidden="false" customHeight="false" outlineLevel="0" collapsed="false">
      <c r="A94" s="2" t="s">
        <v>1826</v>
      </c>
      <c r="B94" s="2" t="s">
        <v>34</v>
      </c>
      <c r="C94" s="2" t="s">
        <v>35</v>
      </c>
      <c r="D94" s="2" t="n">
        <v>2</v>
      </c>
      <c r="E94" s="2" t="s">
        <v>1827</v>
      </c>
      <c r="F94" s="2" t="s">
        <v>37</v>
      </c>
      <c r="G94" s="2" t="s">
        <v>264</v>
      </c>
      <c r="H94" s="2" t="s">
        <v>1828</v>
      </c>
      <c r="I94" s="2" t="s">
        <v>1829</v>
      </c>
      <c r="J94" s="2" t="s">
        <v>37</v>
      </c>
      <c r="K94" s="2" t="s">
        <v>1830</v>
      </c>
      <c r="L94" s="2" t="s">
        <v>549</v>
      </c>
      <c r="M94" s="2" t="s">
        <v>1831</v>
      </c>
      <c r="N94" s="2" t="s">
        <v>1832</v>
      </c>
      <c r="O94" s="2" t="s">
        <v>1833</v>
      </c>
      <c r="P94" s="2" t="s">
        <v>1834</v>
      </c>
      <c r="Q94" s="2" t="s">
        <v>1835</v>
      </c>
      <c r="R94" s="2" t="s">
        <v>1836</v>
      </c>
      <c r="S94" s="2" t="s">
        <v>50</v>
      </c>
      <c r="T94" s="2" t="s">
        <v>1837</v>
      </c>
      <c r="U94" s="2" t="s">
        <v>1838</v>
      </c>
      <c r="V94" s="2"/>
      <c r="W94" s="2" t="s">
        <v>1839</v>
      </c>
      <c r="X94" s="2" t="s">
        <v>1840</v>
      </c>
      <c r="Y94" s="2" t="s">
        <v>1841</v>
      </c>
      <c r="Z94" s="2" t="s">
        <v>1842</v>
      </c>
      <c r="AA94" s="2"/>
      <c r="AB94" s="2"/>
      <c r="AC94" s="2" t="s">
        <v>1843</v>
      </c>
      <c r="AD94" s="2"/>
      <c r="AE94" s="2" t="s">
        <v>58</v>
      </c>
      <c r="AF94" s="2"/>
      <c r="AG94" s="3" t="str">
        <f aca="false">IF(A94="","",IF(COUNTA(O94:R94)&lt;4,"Needs 4 options",IF(ISERROR(FIND(UPPER(S94),"ABCD"))+(LEN(S94)&lt;&gt;1),"Answer must be A-D",IF(OR(D94&lt;1,D94&gt;3),"Difficulty must be 1-3",IF(OR(N94="",T94=""),"Missing question or explanation",IF(COUNTBLANK(U94:X94)&lt;&gt;1,"Need 3 why-not texts",IF(INDEX(U94:X94,1,FIND(UPPER(S94),"ABCD"))&lt;&gt;"","Why-not filled for the answer",IF(AND(B94&lt;&gt;"live",B94&lt;&gt;"draft",B94&lt;&gt;"retired"),"Status must be live/draft/retired","OK"))))))))</f>
        <v>OK</v>
      </c>
    </row>
    <row r="95" customFormat="false" ht="46.25" hidden="false" customHeight="false" outlineLevel="0" collapsed="false">
      <c r="A95" s="2" t="s">
        <v>1844</v>
      </c>
      <c r="B95" s="2" t="s">
        <v>34</v>
      </c>
      <c r="C95" s="2" t="s">
        <v>35</v>
      </c>
      <c r="D95" s="2" t="n">
        <v>3</v>
      </c>
      <c r="E95" s="2" t="s">
        <v>1845</v>
      </c>
      <c r="F95" s="2" t="s">
        <v>37</v>
      </c>
      <c r="G95" s="2" t="s">
        <v>264</v>
      </c>
      <c r="H95" s="2" t="s">
        <v>1528</v>
      </c>
      <c r="I95" s="2" t="s">
        <v>1846</v>
      </c>
      <c r="J95" s="2" t="s">
        <v>1847</v>
      </c>
      <c r="K95" s="2" t="s">
        <v>1848</v>
      </c>
      <c r="L95" s="2" t="s">
        <v>1849</v>
      </c>
      <c r="M95" s="2" t="s">
        <v>1850</v>
      </c>
      <c r="N95" s="2" t="s">
        <v>1851</v>
      </c>
      <c r="O95" s="2" t="s">
        <v>1852</v>
      </c>
      <c r="P95" s="2" t="s">
        <v>1853</v>
      </c>
      <c r="Q95" s="2" t="s">
        <v>1854</v>
      </c>
      <c r="R95" s="2" t="s">
        <v>1855</v>
      </c>
      <c r="S95" s="2" t="s">
        <v>50</v>
      </c>
      <c r="T95" s="2" t="s">
        <v>1856</v>
      </c>
      <c r="U95" s="2" t="s">
        <v>1857</v>
      </c>
      <c r="V95" s="2"/>
      <c r="W95" s="2" t="s">
        <v>1858</v>
      </c>
      <c r="X95" s="2" t="s">
        <v>1859</v>
      </c>
      <c r="Y95" s="2" t="s">
        <v>1860</v>
      </c>
      <c r="Z95" s="2" t="s">
        <v>1861</v>
      </c>
      <c r="AA95" s="2"/>
      <c r="AB95" s="2"/>
      <c r="AC95" s="2" t="s">
        <v>1862</v>
      </c>
      <c r="AD95" s="2"/>
      <c r="AE95" s="2" t="s">
        <v>58</v>
      </c>
      <c r="AF95" s="2"/>
      <c r="AG95" s="3" t="str">
        <f aca="false">IF(A95="","",IF(COUNTA(O95:R95)&lt;4,"Needs 4 options",IF(ISERROR(FIND(UPPER(S95),"ABCD"))+(LEN(S95)&lt;&gt;1),"Answer must be A-D",IF(OR(D95&lt;1,D95&gt;3),"Difficulty must be 1-3",IF(OR(N95="",T95=""),"Missing question or explanation",IF(COUNTBLANK(U95:X95)&lt;&gt;1,"Need 3 why-not texts",IF(INDEX(U95:X95,1,FIND(UPPER(S95),"ABCD"))&lt;&gt;"","Why-not filled for the answer",IF(AND(B95&lt;&gt;"live",B95&lt;&gt;"draft",B95&lt;&gt;"retired"),"Status must be live/draft/retired","OK"))))))))</f>
        <v>OK</v>
      </c>
    </row>
    <row r="96" customFormat="false" ht="57.45" hidden="false" customHeight="false" outlineLevel="0" collapsed="false">
      <c r="A96" s="2" t="s">
        <v>1863</v>
      </c>
      <c r="B96" s="2" t="s">
        <v>34</v>
      </c>
      <c r="C96" s="2" t="s">
        <v>35</v>
      </c>
      <c r="D96" s="2" t="n">
        <v>2</v>
      </c>
      <c r="E96" s="2" t="s">
        <v>1864</v>
      </c>
      <c r="F96" s="2" t="s">
        <v>37</v>
      </c>
      <c r="G96" s="2" t="s">
        <v>1865</v>
      </c>
      <c r="H96" s="2" t="s">
        <v>1866</v>
      </c>
      <c r="I96" s="2" t="s">
        <v>1867</v>
      </c>
      <c r="J96" s="2" t="s">
        <v>1868</v>
      </c>
      <c r="K96" s="2" t="s">
        <v>1869</v>
      </c>
      <c r="L96" s="2" t="s">
        <v>937</v>
      </c>
      <c r="M96" s="2" t="s">
        <v>1870</v>
      </c>
      <c r="N96" s="2" t="s">
        <v>1871</v>
      </c>
      <c r="O96" s="2" t="s">
        <v>1872</v>
      </c>
      <c r="P96" s="2" t="s">
        <v>1873</v>
      </c>
      <c r="Q96" s="2" t="s">
        <v>1874</v>
      </c>
      <c r="R96" s="2" t="s">
        <v>1875</v>
      </c>
      <c r="S96" s="2" t="s">
        <v>50</v>
      </c>
      <c r="T96" s="2" t="s">
        <v>1876</v>
      </c>
      <c r="U96" s="2" t="s">
        <v>1877</v>
      </c>
      <c r="V96" s="2"/>
      <c r="W96" s="2" t="s">
        <v>1878</v>
      </c>
      <c r="X96" s="2" t="s">
        <v>1879</v>
      </c>
      <c r="Y96" s="2" t="s">
        <v>1880</v>
      </c>
      <c r="Z96" s="2" t="s">
        <v>1881</v>
      </c>
      <c r="AA96" s="2"/>
      <c r="AB96" s="2"/>
      <c r="AC96" s="2" t="s">
        <v>1882</v>
      </c>
      <c r="AD96" s="2"/>
      <c r="AE96" s="2" t="s">
        <v>58</v>
      </c>
      <c r="AF96" s="2"/>
      <c r="AG96" s="3" t="str">
        <f aca="false">IF(A96="","",IF(COUNTA(O96:R96)&lt;4,"Needs 4 options",IF(ISERROR(FIND(UPPER(S96),"ABCD"))+(LEN(S96)&lt;&gt;1),"Answer must be A-D",IF(OR(D96&lt;1,D96&gt;3),"Difficulty must be 1-3",IF(OR(N96="",T96=""),"Missing question or explanation",IF(COUNTBLANK(U96:X96)&lt;&gt;1,"Need 3 why-not texts",IF(INDEX(U96:X96,1,FIND(UPPER(S96),"ABCD"))&lt;&gt;"","Why-not filled for the answer",IF(AND(B96&lt;&gt;"live",B96&lt;&gt;"draft",B96&lt;&gt;"retired"),"Status must be live/draft/retired","OK"))))))))</f>
        <v>OK</v>
      </c>
    </row>
    <row r="97" customFormat="false" ht="35.05" hidden="false" customHeight="false" outlineLevel="0" collapsed="false">
      <c r="A97" s="2" t="s">
        <v>1883</v>
      </c>
      <c r="B97" s="2" t="s">
        <v>34</v>
      </c>
      <c r="C97" s="2" t="s">
        <v>35</v>
      </c>
      <c r="D97" s="2" t="n">
        <v>2</v>
      </c>
      <c r="E97" s="2" t="s">
        <v>1884</v>
      </c>
      <c r="F97" s="2" t="s">
        <v>37</v>
      </c>
      <c r="G97" s="2" t="s">
        <v>1885</v>
      </c>
      <c r="H97" s="2" t="s">
        <v>1886</v>
      </c>
      <c r="I97" s="2" t="s">
        <v>1887</v>
      </c>
      <c r="J97" s="2" t="s">
        <v>1888</v>
      </c>
      <c r="K97" s="2" t="s">
        <v>1889</v>
      </c>
      <c r="L97" s="2" t="s">
        <v>937</v>
      </c>
      <c r="M97" s="2" t="s">
        <v>1890</v>
      </c>
      <c r="N97" s="2" t="s">
        <v>1891</v>
      </c>
      <c r="O97" s="2" t="s">
        <v>1892</v>
      </c>
      <c r="P97" s="2" t="s">
        <v>1893</v>
      </c>
      <c r="Q97" s="2" t="s">
        <v>1894</v>
      </c>
      <c r="R97" s="2" t="s">
        <v>1895</v>
      </c>
      <c r="S97" s="2" t="s">
        <v>50</v>
      </c>
      <c r="T97" s="2" t="s">
        <v>1896</v>
      </c>
      <c r="U97" s="2" t="s">
        <v>1897</v>
      </c>
      <c r="V97" s="2"/>
      <c r="W97" s="2" t="s">
        <v>1898</v>
      </c>
      <c r="X97" s="2" t="s">
        <v>1899</v>
      </c>
      <c r="Y97" s="2" t="s">
        <v>1726</v>
      </c>
      <c r="Z97" s="2" t="s">
        <v>1900</v>
      </c>
      <c r="AA97" s="2"/>
      <c r="AB97" s="2"/>
      <c r="AC97" s="2" t="s">
        <v>1901</v>
      </c>
      <c r="AD97" s="2"/>
      <c r="AE97" s="2" t="s">
        <v>58</v>
      </c>
      <c r="AF97" s="2"/>
      <c r="AG97" s="3" t="str">
        <f aca="false">IF(A97="","",IF(COUNTA(O97:R97)&lt;4,"Needs 4 options",IF(ISERROR(FIND(UPPER(S97),"ABCD"))+(LEN(S97)&lt;&gt;1),"Answer must be A-D",IF(OR(D97&lt;1,D97&gt;3),"Difficulty must be 1-3",IF(OR(N97="",T97=""),"Missing question or explanation",IF(COUNTBLANK(U97:X97)&lt;&gt;1,"Need 3 why-not texts",IF(INDEX(U97:X97,1,FIND(UPPER(S97),"ABCD"))&lt;&gt;"","Why-not filled for the answer",IF(AND(B97&lt;&gt;"live",B97&lt;&gt;"draft",B97&lt;&gt;"retired"),"Status must be live/draft/retired","OK"))))))))</f>
        <v>OK</v>
      </c>
    </row>
    <row r="98" customFormat="false" ht="57.45" hidden="false" customHeight="false" outlineLevel="0" collapsed="false">
      <c r="A98" s="2" t="s">
        <v>1902</v>
      </c>
      <c r="B98" s="2" t="s">
        <v>34</v>
      </c>
      <c r="C98" s="2" t="s">
        <v>35</v>
      </c>
      <c r="D98" s="2" t="n">
        <v>3</v>
      </c>
      <c r="E98" s="2" t="s">
        <v>1903</v>
      </c>
      <c r="F98" s="2" t="s">
        <v>223</v>
      </c>
      <c r="G98" s="2" t="s">
        <v>1904</v>
      </c>
      <c r="H98" s="2" t="s">
        <v>1732</v>
      </c>
      <c r="I98" s="2" t="s">
        <v>1905</v>
      </c>
      <c r="J98" s="2" t="s">
        <v>566</v>
      </c>
      <c r="K98" s="2" t="s">
        <v>1906</v>
      </c>
      <c r="L98" s="2" t="s">
        <v>549</v>
      </c>
      <c r="M98" s="2" t="s">
        <v>1907</v>
      </c>
      <c r="N98" s="2" t="s">
        <v>1908</v>
      </c>
      <c r="O98" s="2" t="s">
        <v>1909</v>
      </c>
      <c r="P98" s="2" t="s">
        <v>1910</v>
      </c>
      <c r="Q98" s="2" t="s">
        <v>1911</v>
      </c>
      <c r="R98" s="2" t="s">
        <v>1912</v>
      </c>
      <c r="S98" s="2" t="s">
        <v>50</v>
      </c>
      <c r="T98" s="2" t="s">
        <v>1913</v>
      </c>
      <c r="U98" s="2" t="s">
        <v>1914</v>
      </c>
      <c r="V98" s="2"/>
      <c r="W98" s="2" t="s">
        <v>1915</v>
      </c>
      <c r="X98" s="2" t="s">
        <v>1916</v>
      </c>
      <c r="Y98" s="2" t="s">
        <v>1917</v>
      </c>
      <c r="Z98" s="2" t="s">
        <v>1918</v>
      </c>
      <c r="AA98" s="2"/>
      <c r="AB98" s="2"/>
      <c r="AC98" s="2" t="s">
        <v>1919</v>
      </c>
      <c r="AD98" s="2"/>
      <c r="AE98" s="2" t="s">
        <v>58</v>
      </c>
      <c r="AF98" s="2"/>
      <c r="AG98" s="3" t="str">
        <f aca="false">IF(A98="","",IF(COUNTA(O98:R98)&lt;4,"Needs 4 options",IF(ISERROR(FIND(UPPER(S98),"ABCD"))+(LEN(S98)&lt;&gt;1),"Answer must be A-D",IF(OR(D98&lt;1,D98&gt;3),"Difficulty must be 1-3",IF(OR(N98="",T98=""),"Missing question or explanation",IF(COUNTBLANK(U98:X98)&lt;&gt;1,"Need 3 why-not texts",IF(INDEX(U98:X98,1,FIND(UPPER(S98),"ABCD"))&lt;&gt;"","Why-not filled for the answer",IF(AND(B98&lt;&gt;"live",B98&lt;&gt;"draft",B98&lt;&gt;"retired"),"Status must be live/draft/retired","OK"))))))))</f>
        <v>OK</v>
      </c>
    </row>
    <row r="99" customFormat="false" ht="23.85" hidden="false" customHeight="false" outlineLevel="0" collapsed="false">
      <c r="A99" s="2" t="s">
        <v>1920</v>
      </c>
      <c r="B99" s="2" t="s">
        <v>34</v>
      </c>
      <c r="C99" s="2" t="s">
        <v>35</v>
      </c>
      <c r="D99" s="2" t="n">
        <v>1</v>
      </c>
      <c r="E99" s="2" t="s">
        <v>1921</v>
      </c>
      <c r="F99" s="2" t="s">
        <v>37</v>
      </c>
      <c r="G99" s="2" t="s">
        <v>1922</v>
      </c>
      <c r="H99" s="2" t="s">
        <v>1923</v>
      </c>
      <c r="I99" s="2" t="s">
        <v>1924</v>
      </c>
      <c r="J99" s="2" t="s">
        <v>1711</v>
      </c>
      <c r="K99" s="2" t="s">
        <v>1925</v>
      </c>
      <c r="L99" s="2" t="s">
        <v>1926</v>
      </c>
      <c r="M99" s="2" t="s">
        <v>1927</v>
      </c>
      <c r="N99" s="2" t="s">
        <v>652</v>
      </c>
      <c r="O99" s="2" t="s">
        <v>1928</v>
      </c>
      <c r="P99" s="2" t="s">
        <v>1929</v>
      </c>
      <c r="Q99" s="2" t="s">
        <v>1930</v>
      </c>
      <c r="R99" s="2" t="s">
        <v>1931</v>
      </c>
      <c r="S99" s="2" t="s">
        <v>50</v>
      </c>
      <c r="T99" s="2" t="s">
        <v>1932</v>
      </c>
      <c r="U99" s="2" t="s">
        <v>1933</v>
      </c>
      <c r="V99" s="2"/>
      <c r="W99" s="2" t="s">
        <v>1934</v>
      </c>
      <c r="X99" s="2" t="s">
        <v>1935</v>
      </c>
      <c r="Y99" s="2" t="s">
        <v>1936</v>
      </c>
      <c r="Z99" s="2" t="s">
        <v>1937</v>
      </c>
      <c r="AA99" s="2"/>
      <c r="AB99" s="2"/>
      <c r="AC99" s="2" t="s">
        <v>1938</v>
      </c>
      <c r="AD99" s="2"/>
      <c r="AE99" s="2" t="s">
        <v>58</v>
      </c>
      <c r="AF99" s="2"/>
      <c r="AG99" s="3" t="str">
        <f aca="false">IF(A99="","",IF(COUNTA(O99:R99)&lt;4,"Needs 4 options",IF(ISERROR(FIND(UPPER(S99),"ABCD"))+(LEN(S99)&lt;&gt;1),"Answer must be A-D",IF(OR(D99&lt;1,D99&gt;3),"Difficulty must be 1-3",IF(OR(N99="",T99=""),"Missing question or explanation",IF(COUNTBLANK(U99:X99)&lt;&gt;1,"Need 3 why-not texts",IF(INDEX(U99:X99,1,FIND(UPPER(S99),"ABCD"))&lt;&gt;"","Why-not filled for the answer",IF(AND(B99&lt;&gt;"live",B99&lt;&gt;"draft",B99&lt;&gt;"retired"),"Status must be live/draft/retired","OK"))))))))</f>
        <v>OK</v>
      </c>
    </row>
    <row r="100" customFormat="false" ht="35.05" hidden="false" customHeight="false" outlineLevel="0" collapsed="false">
      <c r="A100" s="2" t="s">
        <v>1939</v>
      </c>
      <c r="B100" s="2" t="s">
        <v>34</v>
      </c>
      <c r="C100" s="2" t="s">
        <v>35</v>
      </c>
      <c r="D100" s="2" t="n">
        <v>2</v>
      </c>
      <c r="E100" s="2" t="s">
        <v>1940</v>
      </c>
      <c r="F100" s="2" t="s">
        <v>37</v>
      </c>
      <c r="G100" s="2" t="s">
        <v>1941</v>
      </c>
      <c r="H100" s="2" t="s">
        <v>1795</v>
      </c>
      <c r="I100" s="2" t="s">
        <v>1942</v>
      </c>
      <c r="J100" s="2" t="s">
        <v>1943</v>
      </c>
      <c r="K100" s="2" t="s">
        <v>1944</v>
      </c>
      <c r="L100" s="2" t="s">
        <v>937</v>
      </c>
      <c r="M100" s="2" t="s">
        <v>1945</v>
      </c>
      <c r="N100" s="2" t="s">
        <v>1946</v>
      </c>
      <c r="O100" s="2" t="s">
        <v>1947</v>
      </c>
      <c r="P100" s="2" t="s">
        <v>1948</v>
      </c>
      <c r="Q100" s="2" t="s">
        <v>1949</v>
      </c>
      <c r="R100" s="2" t="s">
        <v>1950</v>
      </c>
      <c r="S100" s="2" t="s">
        <v>50</v>
      </c>
      <c r="T100" s="2" t="s">
        <v>1951</v>
      </c>
      <c r="U100" s="2" t="s">
        <v>1952</v>
      </c>
      <c r="V100" s="2"/>
      <c r="W100" s="2" t="s">
        <v>1953</v>
      </c>
      <c r="X100" s="2" t="s">
        <v>1954</v>
      </c>
      <c r="Y100" s="2" t="s">
        <v>1955</v>
      </c>
      <c r="Z100" s="2" t="s">
        <v>1956</v>
      </c>
      <c r="AA100" s="2"/>
      <c r="AB100" s="2"/>
      <c r="AC100" s="2" t="s">
        <v>1957</v>
      </c>
      <c r="AD100" s="2"/>
      <c r="AE100" s="2" t="s">
        <v>58</v>
      </c>
      <c r="AF100" s="2"/>
      <c r="AG100" s="3" t="str">
        <f aca="false">IF(A100="","",IF(COUNTA(O100:R100)&lt;4,"Needs 4 options",IF(ISERROR(FIND(UPPER(S100),"ABCD"))+(LEN(S100)&lt;&gt;1),"Answer must be A-D",IF(OR(D100&lt;1,D100&gt;3),"Difficulty must be 1-3",IF(OR(N100="",T100=""),"Missing question or explanation",IF(COUNTBLANK(U100:X100)&lt;&gt;1,"Need 3 why-not texts",IF(INDEX(U100:X100,1,FIND(UPPER(S100),"ABCD"))&lt;&gt;"","Why-not filled for the answer",IF(AND(B100&lt;&gt;"live",B100&lt;&gt;"draft",B100&lt;&gt;"retired"),"Status must be live/draft/retired","OK"))))))))</f>
        <v>OK</v>
      </c>
    </row>
    <row r="101" customFormat="false" ht="46.25" hidden="false" customHeight="false" outlineLevel="0" collapsed="false">
      <c r="A101" s="2" t="s">
        <v>1958</v>
      </c>
      <c r="B101" s="2" t="s">
        <v>34</v>
      </c>
      <c r="C101" s="2" t="s">
        <v>35</v>
      </c>
      <c r="D101" s="2" t="n">
        <v>2</v>
      </c>
      <c r="E101" s="2" t="s">
        <v>1959</v>
      </c>
      <c r="F101" s="2" t="s">
        <v>37</v>
      </c>
      <c r="G101" s="2" t="s">
        <v>1306</v>
      </c>
      <c r="H101" s="2" t="s">
        <v>1960</v>
      </c>
      <c r="I101" s="2" t="s">
        <v>1961</v>
      </c>
      <c r="J101" s="2" t="s">
        <v>1962</v>
      </c>
      <c r="K101" s="2" t="s">
        <v>1963</v>
      </c>
      <c r="L101" s="2" t="s">
        <v>937</v>
      </c>
      <c r="M101" s="2" t="s">
        <v>1964</v>
      </c>
      <c r="N101" s="2" t="s">
        <v>1965</v>
      </c>
      <c r="O101" s="2" t="s">
        <v>1966</v>
      </c>
      <c r="P101" s="2" t="s">
        <v>1967</v>
      </c>
      <c r="Q101" s="2" t="s">
        <v>1968</v>
      </c>
      <c r="R101" s="2" t="s">
        <v>1969</v>
      </c>
      <c r="S101" s="2" t="s">
        <v>50</v>
      </c>
      <c r="T101" s="2" t="s">
        <v>1970</v>
      </c>
      <c r="U101" s="2" t="s">
        <v>1971</v>
      </c>
      <c r="V101" s="2"/>
      <c r="W101" s="2" t="s">
        <v>1972</v>
      </c>
      <c r="X101" s="2" t="s">
        <v>1973</v>
      </c>
      <c r="Y101" s="2" t="s">
        <v>1974</v>
      </c>
      <c r="Z101" s="2" t="s">
        <v>1975</v>
      </c>
      <c r="AA101" s="2" t="s">
        <v>1976</v>
      </c>
      <c r="AB101" s="2" t="s">
        <v>1977</v>
      </c>
      <c r="AC101" s="2" t="s">
        <v>1978</v>
      </c>
      <c r="AD101" s="2"/>
      <c r="AE101" s="2" t="s">
        <v>58</v>
      </c>
      <c r="AF101" s="2"/>
      <c r="AG101" s="3" t="str">
        <f aca="false">IF(A101="","",IF(COUNTA(O101:R101)&lt;4,"Needs 4 options",IF(ISERROR(FIND(UPPER(S101),"ABCD"))+(LEN(S101)&lt;&gt;1),"Answer must be A-D",IF(OR(D101&lt;1,D101&gt;3),"Difficulty must be 1-3",IF(OR(N101="",T101=""),"Missing question or explanation",IF(COUNTBLANK(U101:X101)&lt;&gt;1,"Need 3 why-not texts",IF(INDEX(U101:X101,1,FIND(UPPER(S101),"ABCD"))&lt;&gt;"","Why-not filled for the answer",IF(AND(B101&lt;&gt;"live",B101&lt;&gt;"draft",B101&lt;&gt;"retired"),"Status must be live/draft/retired","OK"))))))))</f>
        <v>OK</v>
      </c>
    </row>
    <row r="102" customFormat="false" ht="23.85" hidden="false" customHeight="false" outlineLevel="0" collapsed="false">
      <c r="A102" s="2" t="s">
        <v>1979</v>
      </c>
      <c r="B102" s="2" t="s">
        <v>34</v>
      </c>
      <c r="C102" s="2" t="s">
        <v>35</v>
      </c>
      <c r="D102" s="2" t="n">
        <v>1</v>
      </c>
      <c r="E102" s="2" t="s">
        <v>1980</v>
      </c>
      <c r="F102" s="2" t="s">
        <v>37</v>
      </c>
      <c r="G102" s="2" t="s">
        <v>1981</v>
      </c>
      <c r="H102" s="2" t="s">
        <v>1849</v>
      </c>
      <c r="I102" s="2" t="s">
        <v>1982</v>
      </c>
      <c r="J102" s="2" t="s">
        <v>1983</v>
      </c>
      <c r="K102" s="2" t="s">
        <v>1984</v>
      </c>
      <c r="L102" s="2" t="s">
        <v>549</v>
      </c>
      <c r="M102" s="2" t="s">
        <v>1985</v>
      </c>
      <c r="N102" s="2" t="s">
        <v>1986</v>
      </c>
      <c r="O102" s="2" t="s">
        <v>1987</v>
      </c>
      <c r="P102" s="2" t="s">
        <v>1988</v>
      </c>
      <c r="Q102" s="2" t="s">
        <v>1989</v>
      </c>
      <c r="R102" s="2" t="s">
        <v>1990</v>
      </c>
      <c r="S102" s="2" t="s">
        <v>50</v>
      </c>
      <c r="T102" s="2" t="s">
        <v>1991</v>
      </c>
      <c r="U102" s="2" t="s">
        <v>1992</v>
      </c>
      <c r="V102" s="2"/>
      <c r="W102" s="2" t="s">
        <v>1993</v>
      </c>
      <c r="X102" s="2" t="s">
        <v>1994</v>
      </c>
      <c r="Y102" s="2" t="s">
        <v>1995</v>
      </c>
      <c r="Z102" s="2" t="s">
        <v>1996</v>
      </c>
      <c r="AA102" s="2"/>
      <c r="AB102" s="2"/>
      <c r="AC102" s="2" t="s">
        <v>1997</v>
      </c>
      <c r="AD102" s="2"/>
      <c r="AE102" s="2" t="s">
        <v>58</v>
      </c>
      <c r="AF102" s="2"/>
      <c r="AG102" s="3" t="str">
        <f aca="false">IF(A102="","",IF(COUNTA(O102:R102)&lt;4,"Needs 4 options",IF(ISERROR(FIND(UPPER(S102),"ABCD"))+(LEN(S102)&lt;&gt;1),"Answer must be A-D",IF(OR(D102&lt;1,D102&gt;3),"Difficulty must be 1-3",IF(OR(N102="",T102=""),"Missing question or explanation",IF(COUNTBLANK(U102:X102)&lt;&gt;1,"Need 3 why-not texts",IF(INDEX(U102:X102,1,FIND(UPPER(S102),"ABCD"))&lt;&gt;"","Why-not filled for the answer",IF(AND(B102&lt;&gt;"live",B102&lt;&gt;"draft",B102&lt;&gt;"retired"),"Status must be live/draft/retired","OK"))))))))</f>
        <v>OK</v>
      </c>
    </row>
    <row r="103" customFormat="false" ht="46.25" hidden="false" customHeight="false" outlineLevel="0" collapsed="false">
      <c r="A103" s="2" t="s">
        <v>1998</v>
      </c>
      <c r="B103" s="2" t="s">
        <v>34</v>
      </c>
      <c r="C103" s="2" t="s">
        <v>35</v>
      </c>
      <c r="D103" s="2" t="n">
        <v>2</v>
      </c>
      <c r="E103" s="2" t="s">
        <v>1999</v>
      </c>
      <c r="F103" s="2" t="s">
        <v>2000</v>
      </c>
      <c r="G103" s="2" t="s">
        <v>2001</v>
      </c>
      <c r="H103" s="2" t="s">
        <v>2002</v>
      </c>
      <c r="I103" s="2" t="s">
        <v>2003</v>
      </c>
      <c r="J103" s="2" t="s">
        <v>549</v>
      </c>
      <c r="K103" s="2" t="s">
        <v>2004</v>
      </c>
      <c r="L103" s="2" t="s">
        <v>1345</v>
      </c>
      <c r="M103" s="2" t="s">
        <v>1960</v>
      </c>
      <c r="N103" s="2" t="s">
        <v>1194</v>
      </c>
      <c r="O103" s="2" t="s">
        <v>2005</v>
      </c>
      <c r="P103" s="2" t="s">
        <v>2006</v>
      </c>
      <c r="Q103" s="2" t="s">
        <v>2007</v>
      </c>
      <c r="R103" s="2" t="s">
        <v>2008</v>
      </c>
      <c r="S103" s="2" t="s">
        <v>50</v>
      </c>
      <c r="T103" s="2" t="s">
        <v>2009</v>
      </c>
      <c r="U103" s="2" t="s">
        <v>1182</v>
      </c>
      <c r="V103" s="2"/>
      <c r="W103" s="2" t="s">
        <v>2010</v>
      </c>
      <c r="X103" s="2" t="s">
        <v>2011</v>
      </c>
      <c r="Y103" s="2" t="s">
        <v>2012</v>
      </c>
      <c r="Z103" s="2" t="s">
        <v>2013</v>
      </c>
      <c r="AA103" s="2"/>
      <c r="AB103" s="2"/>
      <c r="AC103" s="2" t="s">
        <v>2014</v>
      </c>
      <c r="AD103" s="2"/>
      <c r="AE103" s="2" t="s">
        <v>58</v>
      </c>
      <c r="AF103" s="2"/>
      <c r="AG103" s="3" t="str">
        <f aca="false">IF(A103="","",IF(COUNTA(O103:R103)&lt;4,"Needs 4 options",IF(ISERROR(FIND(UPPER(S103),"ABCD"))+(LEN(S103)&lt;&gt;1),"Answer must be A-D",IF(OR(D103&lt;1,D103&gt;3),"Difficulty must be 1-3",IF(OR(N103="",T103=""),"Missing question or explanation",IF(COUNTBLANK(U103:X103)&lt;&gt;1,"Need 3 why-not texts",IF(INDEX(U103:X103,1,FIND(UPPER(S103),"ABCD"))&lt;&gt;"","Why-not filled for the answer",IF(AND(B103&lt;&gt;"live",B103&lt;&gt;"draft",B103&lt;&gt;"retired"),"Status must be live/draft/retired","OK"))))))))</f>
        <v>OK</v>
      </c>
    </row>
    <row r="104" customFormat="false" ht="91" hidden="false" customHeight="false" outlineLevel="0" collapsed="false">
      <c r="A104" s="2" t="s">
        <v>2015</v>
      </c>
      <c r="B104" s="2" t="s">
        <v>34</v>
      </c>
      <c r="C104" s="2" t="s">
        <v>35</v>
      </c>
      <c r="D104" s="2" t="n">
        <v>3</v>
      </c>
      <c r="E104" s="2" t="s">
        <v>2016</v>
      </c>
      <c r="F104" s="2" t="s">
        <v>1651</v>
      </c>
      <c r="G104" s="2" t="s">
        <v>2017</v>
      </c>
      <c r="H104" s="2" t="s">
        <v>2018</v>
      </c>
      <c r="I104" s="2" t="s">
        <v>2019</v>
      </c>
      <c r="J104" s="2" t="s">
        <v>2020</v>
      </c>
      <c r="K104" s="2" t="s">
        <v>2021</v>
      </c>
      <c r="L104" s="2" t="s">
        <v>549</v>
      </c>
      <c r="M104" s="2" t="s">
        <v>2022</v>
      </c>
      <c r="N104" s="2" t="s">
        <v>2023</v>
      </c>
      <c r="O104" s="2" t="s">
        <v>2024</v>
      </c>
      <c r="P104" s="2" t="s">
        <v>2025</v>
      </c>
      <c r="Q104" s="2" t="s">
        <v>2026</v>
      </c>
      <c r="R104" s="2" t="s">
        <v>2027</v>
      </c>
      <c r="S104" s="2" t="s">
        <v>50</v>
      </c>
      <c r="T104" s="2" t="s">
        <v>2028</v>
      </c>
      <c r="U104" s="2" t="s">
        <v>2029</v>
      </c>
      <c r="V104" s="2"/>
      <c r="W104" s="2" t="s">
        <v>2030</v>
      </c>
      <c r="X104" s="2" t="s">
        <v>2031</v>
      </c>
      <c r="Y104" s="2" t="s">
        <v>2032</v>
      </c>
      <c r="Z104" s="2" t="s">
        <v>2033</v>
      </c>
      <c r="AA104" s="2"/>
      <c r="AB104" s="2"/>
      <c r="AC104" s="2" t="s">
        <v>2034</v>
      </c>
      <c r="AD104" s="2"/>
      <c r="AE104" s="2" t="s">
        <v>58</v>
      </c>
      <c r="AF104" s="2"/>
      <c r="AG104" s="3" t="str">
        <f aca="false">IF(A104="","",IF(COUNTA(O104:R104)&lt;4,"Needs 4 options",IF(ISERROR(FIND(UPPER(S104),"ABCD"))+(LEN(S104)&lt;&gt;1),"Answer must be A-D",IF(OR(D104&lt;1,D104&gt;3),"Difficulty must be 1-3",IF(OR(N104="",T104=""),"Missing question or explanation",IF(COUNTBLANK(U104:X104)&lt;&gt;1,"Need 3 why-not texts",IF(INDEX(U104:X104,1,FIND(UPPER(S104),"ABCD"))&lt;&gt;"","Why-not filled for the answer",IF(AND(B104&lt;&gt;"live",B104&lt;&gt;"draft",B104&lt;&gt;"retired"),"Status must be live/draft/retired","OK"))))))))</f>
        <v>OK</v>
      </c>
    </row>
    <row r="105" customFormat="false" ht="23.85" hidden="false" customHeight="false" outlineLevel="0" collapsed="false">
      <c r="A105" s="2" t="s">
        <v>2035</v>
      </c>
      <c r="B105" s="2" t="s">
        <v>34</v>
      </c>
      <c r="C105" s="2" t="s">
        <v>35</v>
      </c>
      <c r="D105" s="2" t="n">
        <v>1</v>
      </c>
      <c r="E105" s="2" t="s">
        <v>2036</v>
      </c>
      <c r="F105" s="2" t="s">
        <v>37</v>
      </c>
      <c r="G105" s="2" t="s">
        <v>323</v>
      </c>
      <c r="H105" s="2" t="s">
        <v>1772</v>
      </c>
      <c r="I105" s="2" t="s">
        <v>2037</v>
      </c>
      <c r="J105" s="2" t="s">
        <v>384</v>
      </c>
      <c r="K105" s="2" t="s">
        <v>2038</v>
      </c>
      <c r="L105" s="2" t="s">
        <v>937</v>
      </c>
      <c r="M105" s="2" t="s">
        <v>2039</v>
      </c>
      <c r="N105" s="2" t="s">
        <v>2040</v>
      </c>
      <c r="O105" s="2" t="s">
        <v>2041</v>
      </c>
      <c r="P105" s="2" t="s">
        <v>2042</v>
      </c>
      <c r="Q105" s="2" t="s">
        <v>2043</v>
      </c>
      <c r="R105" s="2" t="s">
        <v>1781</v>
      </c>
      <c r="S105" s="2" t="s">
        <v>50</v>
      </c>
      <c r="T105" s="2" t="s">
        <v>2044</v>
      </c>
      <c r="U105" s="2" t="s">
        <v>2045</v>
      </c>
      <c r="V105" s="2"/>
      <c r="W105" s="2" t="s">
        <v>2046</v>
      </c>
      <c r="X105" s="2" t="s">
        <v>2047</v>
      </c>
      <c r="Y105" s="2" t="s">
        <v>2048</v>
      </c>
      <c r="Z105" s="2" t="s">
        <v>2049</v>
      </c>
      <c r="AA105" s="2"/>
      <c r="AB105" s="2"/>
      <c r="AC105" s="2" t="s">
        <v>2050</v>
      </c>
      <c r="AD105" s="2"/>
      <c r="AE105" s="2" t="s">
        <v>58</v>
      </c>
      <c r="AF105" s="2"/>
      <c r="AG105" s="3" t="str">
        <f aca="false">IF(A105="","",IF(COUNTA(O105:R105)&lt;4,"Needs 4 options",IF(ISERROR(FIND(UPPER(S105),"ABCD"))+(LEN(S105)&lt;&gt;1),"Answer must be A-D",IF(OR(D105&lt;1,D105&gt;3),"Difficulty must be 1-3",IF(OR(N105="",T105=""),"Missing question or explanation",IF(COUNTBLANK(U105:X105)&lt;&gt;1,"Need 3 why-not texts",IF(INDEX(U105:X105,1,FIND(UPPER(S105),"ABCD"))&lt;&gt;"","Why-not filled for the answer",IF(AND(B105&lt;&gt;"live",B105&lt;&gt;"draft",B105&lt;&gt;"retired"),"Status must be live/draft/retired","OK"))))))))</f>
        <v>OK</v>
      </c>
    </row>
    <row r="106" customFormat="false" ht="23.85" hidden="false" customHeight="false" outlineLevel="0" collapsed="false">
      <c r="A106" s="2" t="s">
        <v>2051</v>
      </c>
      <c r="B106" s="2" t="s">
        <v>34</v>
      </c>
      <c r="C106" s="2" t="s">
        <v>35</v>
      </c>
      <c r="D106" s="2" t="n">
        <v>2</v>
      </c>
      <c r="E106" s="2" t="s">
        <v>2052</v>
      </c>
      <c r="F106" s="2" t="s">
        <v>37</v>
      </c>
      <c r="G106" s="2" t="s">
        <v>2053</v>
      </c>
      <c r="H106" s="2" t="s">
        <v>2054</v>
      </c>
      <c r="I106" s="2" t="s">
        <v>2055</v>
      </c>
      <c r="J106" s="2" t="s">
        <v>1711</v>
      </c>
      <c r="K106" s="2" t="s">
        <v>2056</v>
      </c>
      <c r="L106" s="2" t="s">
        <v>2057</v>
      </c>
      <c r="M106" s="2" t="s">
        <v>2058</v>
      </c>
      <c r="N106" s="2" t="s">
        <v>2059</v>
      </c>
      <c r="O106" s="2" t="s">
        <v>2060</v>
      </c>
      <c r="P106" s="2" t="s">
        <v>2061</v>
      </c>
      <c r="Q106" s="2" t="s">
        <v>2062</v>
      </c>
      <c r="R106" s="2" t="s">
        <v>2063</v>
      </c>
      <c r="S106" s="2" t="s">
        <v>50</v>
      </c>
      <c r="T106" s="2" t="s">
        <v>2064</v>
      </c>
      <c r="U106" s="2" t="s">
        <v>2065</v>
      </c>
      <c r="V106" s="2"/>
      <c r="W106" s="2" t="s">
        <v>2066</v>
      </c>
      <c r="X106" s="2" t="s">
        <v>2067</v>
      </c>
      <c r="Y106" s="2" t="s">
        <v>2068</v>
      </c>
      <c r="Z106" s="2" t="s">
        <v>2069</v>
      </c>
      <c r="AA106" s="2"/>
      <c r="AB106" s="2"/>
      <c r="AC106" s="2" t="s">
        <v>2070</v>
      </c>
      <c r="AD106" s="2"/>
      <c r="AE106" s="2" t="s">
        <v>58</v>
      </c>
      <c r="AF106" s="2"/>
      <c r="AG106" s="3" t="str">
        <f aca="false">IF(A106="","",IF(COUNTA(O106:R106)&lt;4,"Needs 4 options",IF(ISERROR(FIND(UPPER(S106),"ABCD"))+(LEN(S106)&lt;&gt;1),"Answer must be A-D",IF(OR(D106&lt;1,D106&gt;3),"Difficulty must be 1-3",IF(OR(N106="",T106=""),"Missing question or explanation",IF(COUNTBLANK(U106:X106)&lt;&gt;1,"Need 3 why-not texts",IF(INDEX(U106:X106,1,FIND(UPPER(S106),"ABCD"))&lt;&gt;"","Why-not filled for the answer",IF(AND(B106&lt;&gt;"live",B106&lt;&gt;"draft",B106&lt;&gt;"retired"),"Status must be live/draft/retired","OK"))))))))</f>
        <v>OK</v>
      </c>
    </row>
    <row r="107" customFormat="false" ht="35.05" hidden="false" customHeight="false" outlineLevel="0" collapsed="false">
      <c r="A107" s="2" t="s">
        <v>2071</v>
      </c>
      <c r="B107" s="2" t="s">
        <v>34</v>
      </c>
      <c r="C107" s="2" t="s">
        <v>896</v>
      </c>
      <c r="D107" s="2" t="n">
        <v>1</v>
      </c>
      <c r="E107" s="2" t="s">
        <v>2072</v>
      </c>
      <c r="F107" s="2" t="s">
        <v>37</v>
      </c>
      <c r="G107" s="2" t="s">
        <v>2073</v>
      </c>
      <c r="H107" s="2" t="s">
        <v>2074</v>
      </c>
      <c r="I107" s="2" t="s">
        <v>2075</v>
      </c>
      <c r="J107" s="2" t="s">
        <v>1288</v>
      </c>
      <c r="K107" s="2" t="s">
        <v>2076</v>
      </c>
      <c r="L107" s="2" t="s">
        <v>549</v>
      </c>
      <c r="M107" s="2" t="s">
        <v>2077</v>
      </c>
      <c r="N107" s="2" t="s">
        <v>2078</v>
      </c>
      <c r="O107" s="2" t="s">
        <v>2079</v>
      </c>
      <c r="P107" s="2" t="s">
        <v>2080</v>
      </c>
      <c r="Q107" s="2" t="s">
        <v>2081</v>
      </c>
      <c r="R107" s="2" t="s">
        <v>2082</v>
      </c>
      <c r="S107" s="2" t="s">
        <v>50</v>
      </c>
      <c r="T107" s="2" t="s">
        <v>2083</v>
      </c>
      <c r="U107" s="2" t="s">
        <v>2084</v>
      </c>
      <c r="V107" s="2"/>
      <c r="W107" s="2" t="s">
        <v>2085</v>
      </c>
      <c r="X107" s="2" t="s">
        <v>2086</v>
      </c>
      <c r="Y107" s="2" t="s">
        <v>2087</v>
      </c>
      <c r="Z107" s="2" t="s">
        <v>2088</v>
      </c>
      <c r="AA107" s="2"/>
      <c r="AB107" s="2"/>
      <c r="AC107" s="2" t="s">
        <v>2089</v>
      </c>
      <c r="AD107" s="2"/>
      <c r="AE107" s="2" t="s">
        <v>58</v>
      </c>
      <c r="AF107" s="2"/>
      <c r="AG107" s="3" t="str">
        <f aca="false">IF(A107="","",IF(COUNTA(O107:R107)&lt;4,"Needs 4 options",IF(ISERROR(FIND(UPPER(S107),"ABCD"))+(LEN(S107)&lt;&gt;1),"Answer must be A-D",IF(OR(D107&lt;1,D107&gt;3),"Difficulty must be 1-3",IF(OR(N107="",T107=""),"Missing question or explanation",IF(COUNTBLANK(U107:X107)&lt;&gt;1,"Need 3 why-not texts",IF(INDEX(U107:X107,1,FIND(UPPER(S107),"ABCD"))&lt;&gt;"","Why-not filled for the answer",IF(AND(B107&lt;&gt;"live",B107&lt;&gt;"draft",B107&lt;&gt;"retired"),"Status must be live/draft/retired","OK"))))))))</f>
        <v>OK</v>
      </c>
    </row>
    <row r="108" customFormat="false" ht="35.05" hidden="false" customHeight="false" outlineLevel="0" collapsed="false">
      <c r="A108" s="2" t="s">
        <v>2090</v>
      </c>
      <c r="B108" s="2" t="s">
        <v>34</v>
      </c>
      <c r="C108" s="2" t="s">
        <v>896</v>
      </c>
      <c r="D108" s="2" t="n">
        <v>2</v>
      </c>
      <c r="E108" s="2" t="s">
        <v>2091</v>
      </c>
      <c r="F108" s="2" t="s">
        <v>37</v>
      </c>
      <c r="G108" s="2" t="s">
        <v>2092</v>
      </c>
      <c r="H108" s="2" t="s">
        <v>2093</v>
      </c>
      <c r="I108" s="2" t="s">
        <v>2091</v>
      </c>
      <c r="J108" s="2" t="s">
        <v>1774</v>
      </c>
      <c r="K108" s="2" t="s">
        <v>2094</v>
      </c>
      <c r="L108" s="2" t="s">
        <v>549</v>
      </c>
      <c r="M108" s="2" t="s">
        <v>2095</v>
      </c>
      <c r="N108" s="2" t="s">
        <v>2096</v>
      </c>
      <c r="O108" s="2" t="s">
        <v>2097</v>
      </c>
      <c r="P108" s="2" t="s">
        <v>2098</v>
      </c>
      <c r="Q108" s="2" t="s">
        <v>2099</v>
      </c>
      <c r="R108" s="2" t="s">
        <v>2100</v>
      </c>
      <c r="S108" s="2" t="s">
        <v>50</v>
      </c>
      <c r="T108" s="2" t="s">
        <v>2101</v>
      </c>
      <c r="U108" s="2" t="s">
        <v>2102</v>
      </c>
      <c r="V108" s="2"/>
      <c r="W108" s="2" t="s">
        <v>2103</v>
      </c>
      <c r="X108" s="2" t="s">
        <v>2104</v>
      </c>
      <c r="Y108" s="2" t="s">
        <v>2105</v>
      </c>
      <c r="Z108" s="2" t="s">
        <v>2106</v>
      </c>
      <c r="AA108" s="2"/>
      <c r="AB108" s="2"/>
      <c r="AC108" s="2" t="s">
        <v>2107</v>
      </c>
      <c r="AD108" s="2"/>
      <c r="AE108" s="2" t="s">
        <v>58</v>
      </c>
      <c r="AF108" s="2"/>
      <c r="AG108" s="3" t="str">
        <f aca="false">IF(A108="","",IF(COUNTA(O108:R108)&lt;4,"Needs 4 options",IF(ISERROR(FIND(UPPER(S108),"ABCD"))+(LEN(S108)&lt;&gt;1),"Answer must be A-D",IF(OR(D108&lt;1,D108&gt;3),"Difficulty must be 1-3",IF(OR(N108="",T108=""),"Missing question or explanation",IF(COUNTBLANK(U108:X108)&lt;&gt;1,"Need 3 why-not texts",IF(INDEX(U108:X108,1,FIND(UPPER(S108),"ABCD"))&lt;&gt;"","Why-not filled for the answer",IF(AND(B108&lt;&gt;"live",B108&lt;&gt;"draft",B108&lt;&gt;"retired"),"Status must be live/draft/retired","OK"))))))))</f>
        <v>OK</v>
      </c>
    </row>
    <row r="109" customFormat="false" ht="35.05" hidden="false" customHeight="false" outlineLevel="0" collapsed="false">
      <c r="A109" s="2" t="s">
        <v>2108</v>
      </c>
      <c r="B109" s="2" t="s">
        <v>34</v>
      </c>
      <c r="C109" s="2" t="s">
        <v>896</v>
      </c>
      <c r="D109" s="2" t="n">
        <v>2</v>
      </c>
      <c r="E109" s="2" t="s">
        <v>2109</v>
      </c>
      <c r="F109" s="2" t="s">
        <v>962</v>
      </c>
      <c r="G109" s="2" t="s">
        <v>2110</v>
      </c>
      <c r="H109" s="2" t="s">
        <v>2111</v>
      </c>
      <c r="I109" s="2" t="s">
        <v>2112</v>
      </c>
      <c r="J109" s="2" t="s">
        <v>2113</v>
      </c>
      <c r="K109" s="2" t="s">
        <v>2114</v>
      </c>
      <c r="L109" s="2" t="s">
        <v>549</v>
      </c>
      <c r="M109" s="2" t="s">
        <v>2115</v>
      </c>
      <c r="N109" s="2" t="s">
        <v>2116</v>
      </c>
      <c r="O109" s="2" t="s">
        <v>2117</v>
      </c>
      <c r="P109" s="2" t="s">
        <v>2118</v>
      </c>
      <c r="Q109" s="2" t="s">
        <v>2119</v>
      </c>
      <c r="R109" s="2" t="s">
        <v>2120</v>
      </c>
      <c r="S109" s="2" t="s">
        <v>50</v>
      </c>
      <c r="T109" s="2" t="s">
        <v>2121</v>
      </c>
      <c r="U109" s="2" t="s">
        <v>2122</v>
      </c>
      <c r="V109" s="2"/>
      <c r="W109" s="2" t="s">
        <v>2123</v>
      </c>
      <c r="X109" s="2" t="s">
        <v>2124</v>
      </c>
      <c r="Y109" s="2" t="s">
        <v>2125</v>
      </c>
      <c r="Z109" s="2" t="s">
        <v>2126</v>
      </c>
      <c r="AA109" s="2"/>
      <c r="AB109" s="2"/>
      <c r="AC109" s="2" t="s">
        <v>2127</v>
      </c>
      <c r="AD109" s="2"/>
      <c r="AE109" s="2" t="s">
        <v>58</v>
      </c>
      <c r="AF109" s="2"/>
      <c r="AG109" s="3" t="str">
        <f aca="false">IF(A109="","",IF(COUNTA(O109:R109)&lt;4,"Needs 4 options",IF(ISERROR(FIND(UPPER(S109),"ABCD"))+(LEN(S109)&lt;&gt;1),"Answer must be A-D",IF(OR(D109&lt;1,D109&gt;3),"Difficulty must be 1-3",IF(OR(N109="",T109=""),"Missing question or explanation",IF(COUNTBLANK(U109:X109)&lt;&gt;1,"Need 3 why-not texts",IF(INDEX(U109:X109,1,FIND(UPPER(S109),"ABCD"))&lt;&gt;"","Why-not filled for the answer",IF(AND(B109&lt;&gt;"live",B109&lt;&gt;"draft",B109&lt;&gt;"retired"),"Status must be live/draft/retired","OK"))))))))</f>
        <v>OK</v>
      </c>
    </row>
    <row r="110" customFormat="false" ht="68.65" hidden="false" customHeight="false" outlineLevel="0" collapsed="false">
      <c r="A110" s="2" t="s">
        <v>2128</v>
      </c>
      <c r="B110" s="2" t="s">
        <v>34</v>
      </c>
      <c r="C110" s="2" t="s">
        <v>896</v>
      </c>
      <c r="D110" s="2" t="n">
        <v>2</v>
      </c>
      <c r="E110" s="2" t="s">
        <v>2129</v>
      </c>
      <c r="F110" s="2" t="s">
        <v>937</v>
      </c>
      <c r="G110" s="2" t="s">
        <v>2130</v>
      </c>
      <c r="H110" s="2" t="s">
        <v>2131</v>
      </c>
      <c r="I110" s="2" t="s">
        <v>2132</v>
      </c>
      <c r="J110" s="2" t="s">
        <v>246</v>
      </c>
      <c r="K110" s="2" t="s">
        <v>2133</v>
      </c>
      <c r="L110" s="2" t="s">
        <v>549</v>
      </c>
      <c r="M110" s="2" t="s">
        <v>2134</v>
      </c>
      <c r="N110" s="2" t="s">
        <v>2135</v>
      </c>
      <c r="O110" s="2" t="s">
        <v>2136</v>
      </c>
      <c r="P110" s="2" t="s">
        <v>2137</v>
      </c>
      <c r="Q110" s="2" t="s">
        <v>2138</v>
      </c>
      <c r="R110" s="2" t="s">
        <v>2139</v>
      </c>
      <c r="S110" s="2" t="s">
        <v>50</v>
      </c>
      <c r="T110" s="2" t="s">
        <v>2140</v>
      </c>
      <c r="U110" s="2" t="s">
        <v>2141</v>
      </c>
      <c r="V110" s="2"/>
      <c r="W110" s="2" t="s">
        <v>2142</v>
      </c>
      <c r="X110" s="2" t="s">
        <v>2143</v>
      </c>
      <c r="Y110" s="2" t="s">
        <v>2144</v>
      </c>
      <c r="Z110" s="2" t="s">
        <v>2145</v>
      </c>
      <c r="AA110" s="2"/>
      <c r="AB110" s="2"/>
      <c r="AC110" s="2" t="s">
        <v>2146</v>
      </c>
      <c r="AD110" s="2"/>
      <c r="AE110" s="2" t="s">
        <v>58</v>
      </c>
      <c r="AF110" s="2"/>
      <c r="AG110" s="3" t="str">
        <f aca="false">IF(A110="","",IF(COUNTA(O110:R110)&lt;4,"Needs 4 options",IF(ISERROR(FIND(UPPER(S110),"ABCD"))+(LEN(S110)&lt;&gt;1),"Answer must be A-D",IF(OR(D110&lt;1,D110&gt;3),"Difficulty must be 1-3",IF(OR(N110="",T110=""),"Missing question or explanation",IF(COUNTBLANK(U110:X110)&lt;&gt;1,"Need 3 why-not texts",IF(INDEX(U110:X110,1,FIND(UPPER(S110),"ABCD"))&lt;&gt;"","Why-not filled for the answer",IF(AND(B110&lt;&gt;"live",B110&lt;&gt;"draft",B110&lt;&gt;"retired"),"Status must be live/draft/retired","OK"))))))))</f>
        <v>OK</v>
      </c>
    </row>
    <row r="111" customFormat="false" ht="68.65" hidden="false" customHeight="false" outlineLevel="0" collapsed="false">
      <c r="A111" s="2" t="s">
        <v>2147</v>
      </c>
      <c r="B111" s="2" t="s">
        <v>34</v>
      </c>
      <c r="C111" s="2" t="s">
        <v>896</v>
      </c>
      <c r="D111" s="2" t="n">
        <v>2</v>
      </c>
      <c r="E111" s="2" t="s">
        <v>2148</v>
      </c>
      <c r="F111" s="2" t="s">
        <v>37</v>
      </c>
      <c r="G111" s="2" t="s">
        <v>961</v>
      </c>
      <c r="H111" s="2" t="s">
        <v>2149</v>
      </c>
      <c r="I111" s="2" t="s">
        <v>2150</v>
      </c>
      <c r="J111" s="2" t="s">
        <v>2151</v>
      </c>
      <c r="K111" s="2" t="s">
        <v>2152</v>
      </c>
      <c r="L111" s="2" t="s">
        <v>549</v>
      </c>
      <c r="M111" s="2" t="s">
        <v>2153</v>
      </c>
      <c r="N111" s="2" t="s">
        <v>2154</v>
      </c>
      <c r="O111" s="2" t="s">
        <v>2155</v>
      </c>
      <c r="P111" s="2" t="s">
        <v>2156</v>
      </c>
      <c r="Q111" s="2" t="s">
        <v>2157</v>
      </c>
      <c r="R111" s="2" t="s">
        <v>2158</v>
      </c>
      <c r="S111" s="2" t="s">
        <v>50</v>
      </c>
      <c r="T111" s="2" t="s">
        <v>2159</v>
      </c>
      <c r="U111" s="2" t="s">
        <v>2160</v>
      </c>
      <c r="V111" s="2"/>
      <c r="W111" s="2" t="s">
        <v>2161</v>
      </c>
      <c r="X111" s="2" t="s">
        <v>2162</v>
      </c>
      <c r="Y111" s="2" t="s">
        <v>2163</v>
      </c>
      <c r="Z111" s="2" t="s">
        <v>2164</v>
      </c>
      <c r="AA111" s="2"/>
      <c r="AB111" s="2"/>
      <c r="AC111" s="2" t="s">
        <v>2165</v>
      </c>
      <c r="AD111" s="2"/>
      <c r="AE111" s="2" t="s">
        <v>58</v>
      </c>
      <c r="AF111" s="2"/>
      <c r="AG111" s="3" t="str">
        <f aca="false">IF(A111="","",IF(COUNTA(O111:R111)&lt;4,"Needs 4 options",IF(ISERROR(FIND(UPPER(S111),"ABCD"))+(LEN(S111)&lt;&gt;1),"Answer must be A-D",IF(OR(D111&lt;1,D111&gt;3),"Difficulty must be 1-3",IF(OR(N111="",T111=""),"Missing question or explanation",IF(COUNTBLANK(U111:X111)&lt;&gt;1,"Need 3 why-not texts",IF(INDEX(U111:X111,1,FIND(UPPER(S111),"ABCD"))&lt;&gt;"","Why-not filled for the answer",IF(AND(B111&lt;&gt;"live",B111&lt;&gt;"draft",B111&lt;&gt;"retired"),"Status must be live/draft/retired","OK"))))))))</f>
        <v>OK</v>
      </c>
    </row>
    <row r="112" customFormat="false" ht="35.05" hidden="false" customHeight="false" outlineLevel="0" collapsed="false">
      <c r="A112" s="2" t="s">
        <v>2166</v>
      </c>
      <c r="B112" s="2" t="s">
        <v>34</v>
      </c>
      <c r="C112" s="2" t="s">
        <v>896</v>
      </c>
      <c r="D112" s="2" t="n">
        <v>1</v>
      </c>
      <c r="E112" s="2" t="s">
        <v>2167</v>
      </c>
      <c r="F112" s="2" t="s">
        <v>37</v>
      </c>
      <c r="G112" s="2" t="s">
        <v>2168</v>
      </c>
      <c r="H112" s="2" t="s">
        <v>2149</v>
      </c>
      <c r="I112" s="2" t="s">
        <v>2169</v>
      </c>
      <c r="J112" s="2" t="s">
        <v>384</v>
      </c>
      <c r="K112" s="2" t="s">
        <v>2170</v>
      </c>
      <c r="L112" s="2" t="s">
        <v>549</v>
      </c>
      <c r="M112" s="2" t="s">
        <v>2171</v>
      </c>
      <c r="N112" s="2" t="s">
        <v>491</v>
      </c>
      <c r="O112" s="2" t="s">
        <v>2172</v>
      </c>
      <c r="P112" s="2" t="s">
        <v>2173</v>
      </c>
      <c r="Q112" s="2" t="s">
        <v>2174</v>
      </c>
      <c r="R112" s="2" t="s">
        <v>2175</v>
      </c>
      <c r="S112" s="2" t="s">
        <v>50</v>
      </c>
      <c r="T112" s="2" t="s">
        <v>2176</v>
      </c>
      <c r="U112" s="2" t="s">
        <v>2177</v>
      </c>
      <c r="V112" s="2"/>
      <c r="W112" s="2" t="s">
        <v>2178</v>
      </c>
      <c r="X112" s="2" t="s">
        <v>2179</v>
      </c>
      <c r="Y112" s="2" t="s">
        <v>2180</v>
      </c>
      <c r="Z112" s="2" t="s">
        <v>2181</v>
      </c>
      <c r="AA112" s="2"/>
      <c r="AB112" s="2"/>
      <c r="AC112" s="2" t="s">
        <v>2182</v>
      </c>
      <c r="AD112" s="2"/>
      <c r="AE112" s="2" t="s">
        <v>58</v>
      </c>
      <c r="AF112" s="2"/>
      <c r="AG112" s="3" t="str">
        <f aca="false">IF(A112="","",IF(COUNTA(O112:R112)&lt;4,"Needs 4 options",IF(ISERROR(FIND(UPPER(S112),"ABCD"))+(LEN(S112)&lt;&gt;1),"Answer must be A-D",IF(OR(D112&lt;1,D112&gt;3),"Difficulty must be 1-3",IF(OR(N112="",T112=""),"Missing question or explanation",IF(COUNTBLANK(U112:X112)&lt;&gt;1,"Need 3 why-not texts",IF(INDEX(U112:X112,1,FIND(UPPER(S112),"ABCD"))&lt;&gt;"","Why-not filled for the answer",IF(AND(B112&lt;&gt;"live",B112&lt;&gt;"draft",B112&lt;&gt;"retired"),"Status must be live/draft/retired","OK"))))))))</f>
        <v>OK</v>
      </c>
    </row>
    <row r="113" customFormat="false" ht="147" hidden="false" customHeight="false" outlineLevel="0" collapsed="false">
      <c r="A113" s="2" t="s">
        <v>2183</v>
      </c>
      <c r="B113" s="2" t="s">
        <v>34</v>
      </c>
      <c r="C113" s="2" t="s">
        <v>179</v>
      </c>
      <c r="D113" s="2" t="n">
        <v>1</v>
      </c>
      <c r="E113" s="2" t="s">
        <v>2184</v>
      </c>
      <c r="F113" s="2" t="s">
        <v>223</v>
      </c>
      <c r="G113" s="2" t="s">
        <v>323</v>
      </c>
      <c r="H113" s="2" t="s">
        <v>2185</v>
      </c>
      <c r="I113" s="2" t="s">
        <v>2186</v>
      </c>
      <c r="J113" s="2" t="s">
        <v>687</v>
      </c>
      <c r="K113" s="2" t="s">
        <v>2187</v>
      </c>
      <c r="L113" s="2" t="s">
        <v>549</v>
      </c>
      <c r="M113" s="2" t="s">
        <v>2188</v>
      </c>
      <c r="N113" s="2" t="s">
        <v>2189</v>
      </c>
      <c r="O113" s="2" t="s">
        <v>2190</v>
      </c>
      <c r="P113" s="2" t="s">
        <v>2191</v>
      </c>
      <c r="Q113" s="2" t="s">
        <v>2192</v>
      </c>
      <c r="R113" s="2" t="s">
        <v>2193</v>
      </c>
      <c r="S113" s="2" t="s">
        <v>2194</v>
      </c>
      <c r="T113" s="2" t="s">
        <v>2195</v>
      </c>
      <c r="U113" s="2" t="s">
        <v>2196</v>
      </c>
      <c r="V113" s="2" t="s">
        <v>2197</v>
      </c>
      <c r="W113" s="2" t="s">
        <v>2198</v>
      </c>
      <c r="X113" s="2"/>
      <c r="Y113" s="2" t="s">
        <v>2199</v>
      </c>
      <c r="Z113" s="2" t="s">
        <v>2200</v>
      </c>
      <c r="AA113" s="2"/>
      <c r="AB113" s="2"/>
      <c r="AC113" s="2" t="s">
        <v>2201</v>
      </c>
      <c r="AD113" s="2"/>
      <c r="AE113" s="2" t="s">
        <v>58</v>
      </c>
      <c r="AF113" s="2"/>
      <c r="AG113" s="3" t="str">
        <f aca="false">IF(A113="","",IF(COUNTA(O113:R113)&lt;4,"Needs 4 options",IF(ISERROR(FIND(UPPER(S113),"ABCD"))+(LEN(S113)&lt;&gt;1),"Answer must be A-D",IF(OR(D113&lt;1,D113&gt;3),"Difficulty must be 1-3",IF(OR(N113="",T113=""),"Missing question or explanation",IF(COUNTBLANK(U113:X113)&lt;&gt;1,"Need 3 why-not texts",IF(INDEX(U113:X113,1,FIND(UPPER(S113),"ABCD"))&lt;&gt;"","Why-not filled for the answer",IF(AND(B113&lt;&gt;"live",B113&lt;&gt;"draft",B113&lt;&gt;"retired"),"Status must be live/draft/retired","OK"))))))))</f>
        <v>OK</v>
      </c>
    </row>
    <row r="114" customFormat="false" ht="79.85" hidden="false" customHeight="false" outlineLevel="0" collapsed="false">
      <c r="A114" s="2" t="s">
        <v>2202</v>
      </c>
      <c r="B114" s="2" t="s">
        <v>34</v>
      </c>
      <c r="C114" s="2" t="s">
        <v>179</v>
      </c>
      <c r="D114" s="2" t="n">
        <v>3</v>
      </c>
      <c r="E114" s="2" t="s">
        <v>2203</v>
      </c>
      <c r="F114" s="2" t="s">
        <v>223</v>
      </c>
      <c r="G114" s="2" t="s">
        <v>2204</v>
      </c>
      <c r="H114" s="2" t="s">
        <v>160</v>
      </c>
      <c r="I114" s="2" t="s">
        <v>2205</v>
      </c>
      <c r="J114" s="2" t="s">
        <v>2206</v>
      </c>
      <c r="K114" s="2" t="s">
        <v>2207</v>
      </c>
      <c r="L114" s="2" t="s">
        <v>549</v>
      </c>
      <c r="M114" s="2" t="s">
        <v>2208</v>
      </c>
      <c r="N114" s="2" t="s">
        <v>1657</v>
      </c>
      <c r="O114" s="2" t="s">
        <v>2209</v>
      </c>
      <c r="P114" s="2" t="s">
        <v>2210</v>
      </c>
      <c r="Q114" s="2" t="s">
        <v>2211</v>
      </c>
      <c r="R114" s="2" t="s">
        <v>2212</v>
      </c>
      <c r="S114" s="2" t="s">
        <v>50</v>
      </c>
      <c r="T114" s="2" t="s">
        <v>2213</v>
      </c>
      <c r="U114" s="2" t="s">
        <v>2214</v>
      </c>
      <c r="V114" s="2"/>
      <c r="W114" s="2" t="s">
        <v>2215</v>
      </c>
      <c r="X114" s="2" t="s">
        <v>2216</v>
      </c>
      <c r="Y114" s="2" t="s">
        <v>2217</v>
      </c>
      <c r="Z114" s="2" t="s">
        <v>2218</v>
      </c>
      <c r="AA114" s="2"/>
      <c r="AB114" s="2"/>
      <c r="AC114" s="2" t="s">
        <v>2219</v>
      </c>
      <c r="AD114" s="2"/>
      <c r="AE114" s="2" t="s">
        <v>58</v>
      </c>
      <c r="AF114" s="2"/>
      <c r="AG114" s="3" t="str">
        <f aca="false">IF(A114="","",IF(COUNTA(O114:R114)&lt;4,"Needs 4 options",IF(ISERROR(FIND(UPPER(S114),"ABCD"))+(LEN(S114)&lt;&gt;1),"Answer must be A-D",IF(OR(D114&lt;1,D114&gt;3),"Difficulty must be 1-3",IF(OR(N114="",T114=""),"Missing question or explanation",IF(COUNTBLANK(U114:X114)&lt;&gt;1,"Need 3 why-not texts",IF(INDEX(U114:X114,1,FIND(UPPER(S114),"ABCD"))&lt;&gt;"","Why-not filled for the answer",IF(AND(B114&lt;&gt;"live",B114&lt;&gt;"draft",B114&lt;&gt;"retired"),"Status must be live/draft/retired","OK"))))))))</f>
        <v>OK</v>
      </c>
    </row>
    <row r="115" customFormat="false" ht="57.45" hidden="false" customHeight="false" outlineLevel="0" collapsed="false">
      <c r="A115" s="2" t="s">
        <v>2220</v>
      </c>
      <c r="B115" s="2" t="s">
        <v>34</v>
      </c>
      <c r="C115" s="2" t="s">
        <v>179</v>
      </c>
      <c r="D115" s="2" t="n">
        <v>2</v>
      </c>
      <c r="E115" s="2" t="s">
        <v>2221</v>
      </c>
      <c r="F115" s="2" t="s">
        <v>223</v>
      </c>
      <c r="G115" s="2" t="s">
        <v>264</v>
      </c>
      <c r="H115" s="2" t="s">
        <v>2222</v>
      </c>
      <c r="I115" s="2" t="s">
        <v>2223</v>
      </c>
      <c r="J115" s="2" t="s">
        <v>2224</v>
      </c>
      <c r="K115" s="2" t="s">
        <v>2225</v>
      </c>
      <c r="L115" s="2" t="s">
        <v>549</v>
      </c>
      <c r="M115" s="2" t="s">
        <v>986</v>
      </c>
      <c r="N115" s="2" t="s">
        <v>2226</v>
      </c>
      <c r="O115" s="2" t="s">
        <v>2227</v>
      </c>
      <c r="P115" s="2" t="s">
        <v>2228</v>
      </c>
      <c r="Q115" s="2" t="s">
        <v>2229</v>
      </c>
      <c r="R115" s="2" t="s">
        <v>2230</v>
      </c>
      <c r="S115" s="2" t="s">
        <v>50</v>
      </c>
      <c r="T115" s="2" t="s">
        <v>2231</v>
      </c>
      <c r="U115" s="2" t="s">
        <v>2232</v>
      </c>
      <c r="V115" s="2"/>
      <c r="W115" s="2" t="s">
        <v>2233</v>
      </c>
      <c r="X115" s="2" t="s">
        <v>1483</v>
      </c>
      <c r="Y115" s="2" t="s">
        <v>2234</v>
      </c>
      <c r="Z115" s="2" t="s">
        <v>2235</v>
      </c>
      <c r="AA115" s="2"/>
      <c r="AB115" s="2"/>
      <c r="AC115" s="2" t="s">
        <v>2236</v>
      </c>
      <c r="AD115" s="2"/>
      <c r="AE115" s="2" t="s">
        <v>58</v>
      </c>
      <c r="AF115" s="2"/>
      <c r="AG115" s="3" t="str">
        <f aca="false">IF(A115="","",IF(COUNTA(O115:R115)&lt;4,"Needs 4 options",IF(ISERROR(FIND(UPPER(S115),"ABCD"))+(LEN(S115)&lt;&gt;1),"Answer must be A-D",IF(OR(D115&lt;1,D115&gt;3),"Difficulty must be 1-3",IF(OR(N115="",T115=""),"Missing question or explanation",IF(COUNTBLANK(U115:X115)&lt;&gt;1,"Need 3 why-not texts",IF(INDEX(U115:X115,1,FIND(UPPER(S115),"ABCD"))&lt;&gt;"","Why-not filled for the answer",IF(AND(B115&lt;&gt;"live",B115&lt;&gt;"draft",B115&lt;&gt;"retired"),"Status must be live/draft/retired","OK"))))))))</f>
        <v>OK</v>
      </c>
    </row>
    <row r="116" customFormat="false" ht="46.25" hidden="false" customHeight="false" outlineLevel="0" collapsed="false">
      <c r="A116" s="2" t="s">
        <v>2237</v>
      </c>
      <c r="B116" s="2" t="s">
        <v>34</v>
      </c>
      <c r="C116" s="2" t="s">
        <v>179</v>
      </c>
      <c r="D116" s="2" t="n">
        <v>2</v>
      </c>
      <c r="E116" s="2" t="s">
        <v>2238</v>
      </c>
      <c r="F116" s="2" t="s">
        <v>223</v>
      </c>
      <c r="G116" s="2" t="s">
        <v>323</v>
      </c>
      <c r="H116" s="2" t="s">
        <v>2239</v>
      </c>
      <c r="I116" s="2" t="s">
        <v>2240</v>
      </c>
      <c r="J116" s="2" t="s">
        <v>2241</v>
      </c>
      <c r="K116" s="2" t="s">
        <v>2242</v>
      </c>
      <c r="L116" s="2" t="s">
        <v>2243</v>
      </c>
      <c r="M116" s="2" t="s">
        <v>2244</v>
      </c>
      <c r="N116" s="2" t="s">
        <v>2245</v>
      </c>
      <c r="O116" s="2" t="s">
        <v>987</v>
      </c>
      <c r="P116" s="2" t="s">
        <v>2246</v>
      </c>
      <c r="Q116" s="2" t="s">
        <v>2247</v>
      </c>
      <c r="R116" s="2" t="s">
        <v>2248</v>
      </c>
      <c r="S116" s="2" t="s">
        <v>50</v>
      </c>
      <c r="T116" s="2" t="s">
        <v>2249</v>
      </c>
      <c r="U116" s="2" t="s">
        <v>2250</v>
      </c>
      <c r="V116" s="2"/>
      <c r="W116" s="2" t="s">
        <v>2251</v>
      </c>
      <c r="X116" s="2" t="s">
        <v>2252</v>
      </c>
      <c r="Y116" s="2" t="s">
        <v>2253</v>
      </c>
      <c r="Z116" s="2" t="s">
        <v>2254</v>
      </c>
      <c r="AA116" s="2"/>
      <c r="AB116" s="2"/>
      <c r="AC116" s="2" t="s">
        <v>2255</v>
      </c>
      <c r="AD116" s="2"/>
      <c r="AE116" s="2" t="s">
        <v>58</v>
      </c>
      <c r="AF116" s="2"/>
      <c r="AG116" s="3" t="str">
        <f aca="false">IF(A116="","",IF(COUNTA(O116:R116)&lt;4,"Needs 4 options",IF(ISERROR(FIND(UPPER(S116),"ABCD"))+(LEN(S116)&lt;&gt;1),"Answer must be A-D",IF(OR(D116&lt;1,D116&gt;3),"Difficulty must be 1-3",IF(OR(N116="",T116=""),"Missing question or explanation",IF(COUNTBLANK(U116:X116)&lt;&gt;1,"Need 3 why-not texts",IF(INDEX(U116:X116,1,FIND(UPPER(S116),"ABCD"))&lt;&gt;"","Why-not filled for the answer",IF(AND(B116&lt;&gt;"live",B116&lt;&gt;"draft",B116&lt;&gt;"retired"),"Status must be live/draft/retired","OK"))))))))</f>
        <v>OK</v>
      </c>
    </row>
    <row r="117" customFormat="false" ht="68.65" hidden="false" customHeight="false" outlineLevel="0" collapsed="false">
      <c r="A117" s="2" t="s">
        <v>2256</v>
      </c>
      <c r="B117" s="2" t="s">
        <v>34</v>
      </c>
      <c r="C117" s="2" t="s">
        <v>179</v>
      </c>
      <c r="D117" s="2" t="n">
        <v>2</v>
      </c>
      <c r="E117" s="2" t="s">
        <v>2257</v>
      </c>
      <c r="F117" s="2" t="s">
        <v>1528</v>
      </c>
      <c r="G117" s="2" t="s">
        <v>2258</v>
      </c>
      <c r="H117" s="2" t="s">
        <v>547</v>
      </c>
      <c r="I117" s="2" t="s">
        <v>2259</v>
      </c>
      <c r="J117" s="2" t="s">
        <v>246</v>
      </c>
      <c r="K117" s="2" t="s">
        <v>2260</v>
      </c>
      <c r="L117" s="2" t="s">
        <v>2261</v>
      </c>
      <c r="M117" s="2" t="s">
        <v>2262</v>
      </c>
      <c r="N117" s="2" t="s">
        <v>2263</v>
      </c>
      <c r="O117" s="2" t="s">
        <v>2264</v>
      </c>
      <c r="P117" s="2" t="s">
        <v>2265</v>
      </c>
      <c r="Q117" s="2" t="s">
        <v>1479</v>
      </c>
      <c r="R117" s="2" t="s">
        <v>2266</v>
      </c>
      <c r="S117" s="2" t="s">
        <v>50</v>
      </c>
      <c r="T117" s="2" t="s">
        <v>2267</v>
      </c>
      <c r="U117" s="2" t="s">
        <v>2268</v>
      </c>
      <c r="V117" s="2"/>
      <c r="W117" s="2" t="s">
        <v>2269</v>
      </c>
      <c r="X117" s="2" t="s">
        <v>2270</v>
      </c>
      <c r="Y117" s="2" t="s">
        <v>2271</v>
      </c>
      <c r="Z117" s="2" t="s">
        <v>2272</v>
      </c>
      <c r="AA117" s="2"/>
      <c r="AB117" s="2"/>
      <c r="AC117" s="2" t="s">
        <v>2273</v>
      </c>
      <c r="AD117" s="2"/>
      <c r="AE117" s="2" t="s">
        <v>58</v>
      </c>
      <c r="AF117" s="2"/>
      <c r="AG117" s="3" t="str">
        <f aca="false">IF(A117="","",IF(COUNTA(O117:R117)&lt;4,"Needs 4 options",IF(ISERROR(FIND(UPPER(S117),"ABCD"))+(LEN(S117)&lt;&gt;1),"Answer must be A-D",IF(OR(D117&lt;1,D117&gt;3),"Difficulty must be 1-3",IF(OR(N117="",T117=""),"Missing question or explanation",IF(COUNTBLANK(U117:X117)&lt;&gt;1,"Need 3 why-not texts",IF(INDEX(U117:X117,1,FIND(UPPER(S117),"ABCD"))&lt;&gt;"","Why-not filled for the answer",IF(AND(B117&lt;&gt;"live",B117&lt;&gt;"draft",B117&lt;&gt;"retired"),"Status must be live/draft/retired","OK"))))))))</f>
        <v>OK</v>
      </c>
    </row>
    <row r="118" customFormat="false" ht="46.25" hidden="false" customHeight="false" outlineLevel="0" collapsed="false">
      <c r="A118" s="2" t="s">
        <v>2274</v>
      </c>
      <c r="B118" s="2" t="s">
        <v>34</v>
      </c>
      <c r="C118" s="2" t="s">
        <v>179</v>
      </c>
      <c r="D118" s="2" t="n">
        <v>1</v>
      </c>
      <c r="E118" s="2" t="s">
        <v>2275</v>
      </c>
      <c r="F118" s="2" t="s">
        <v>223</v>
      </c>
      <c r="G118" s="2" t="s">
        <v>1077</v>
      </c>
      <c r="H118" s="2" t="s">
        <v>384</v>
      </c>
      <c r="I118" s="2" t="s">
        <v>2276</v>
      </c>
      <c r="J118" s="2" t="s">
        <v>982</v>
      </c>
      <c r="K118" s="2" t="s">
        <v>983</v>
      </c>
      <c r="L118" s="2" t="s">
        <v>549</v>
      </c>
      <c r="M118" s="2" t="s">
        <v>2277</v>
      </c>
      <c r="N118" s="2" t="s">
        <v>2278</v>
      </c>
      <c r="O118" s="2" t="s">
        <v>2279</v>
      </c>
      <c r="P118" s="2" t="s">
        <v>2280</v>
      </c>
      <c r="Q118" s="2" t="s">
        <v>2281</v>
      </c>
      <c r="R118" s="2" t="s">
        <v>2282</v>
      </c>
      <c r="S118" s="2" t="s">
        <v>50</v>
      </c>
      <c r="T118" s="2" t="s">
        <v>2283</v>
      </c>
      <c r="U118" s="2" t="s">
        <v>2284</v>
      </c>
      <c r="V118" s="2"/>
      <c r="W118" s="2" t="s">
        <v>2285</v>
      </c>
      <c r="X118" s="2" t="s">
        <v>1089</v>
      </c>
      <c r="Y118" s="2" t="s">
        <v>2253</v>
      </c>
      <c r="Z118" s="2" t="s">
        <v>2254</v>
      </c>
      <c r="AA118" s="2"/>
      <c r="AB118" s="2"/>
      <c r="AC118" s="2" t="s">
        <v>2286</v>
      </c>
      <c r="AD118" s="2"/>
      <c r="AE118" s="2" t="s">
        <v>58</v>
      </c>
      <c r="AF118" s="2"/>
      <c r="AG118" s="3" t="str">
        <f aca="false">IF(A118="","",IF(COUNTA(O118:R118)&lt;4,"Needs 4 options",IF(ISERROR(FIND(UPPER(S118),"ABCD"))+(LEN(S118)&lt;&gt;1),"Answer must be A-D",IF(OR(D118&lt;1,D118&gt;3),"Difficulty must be 1-3",IF(OR(N118="",T118=""),"Missing question or explanation",IF(COUNTBLANK(U118:X118)&lt;&gt;1,"Need 3 why-not texts",IF(INDEX(U118:X118,1,FIND(UPPER(S118),"ABCD"))&lt;&gt;"","Why-not filled for the answer",IF(AND(B118&lt;&gt;"live",B118&lt;&gt;"draft",B118&lt;&gt;"retired"),"Status must be live/draft/retired","OK"))))))))</f>
        <v>OK</v>
      </c>
    </row>
    <row r="119" customFormat="false" ht="102.2" hidden="false" customHeight="false" outlineLevel="0" collapsed="false">
      <c r="A119" s="2" t="s">
        <v>2287</v>
      </c>
      <c r="B119" s="2" t="s">
        <v>34</v>
      </c>
      <c r="C119" s="2" t="s">
        <v>179</v>
      </c>
      <c r="D119" s="2" t="n">
        <v>3</v>
      </c>
      <c r="E119" s="2" t="s">
        <v>2288</v>
      </c>
      <c r="F119" s="2" t="s">
        <v>2289</v>
      </c>
      <c r="G119" s="2" t="s">
        <v>2290</v>
      </c>
      <c r="H119" s="2" t="s">
        <v>2291</v>
      </c>
      <c r="I119" s="2" t="s">
        <v>2292</v>
      </c>
      <c r="J119" s="2" t="s">
        <v>2293</v>
      </c>
      <c r="K119" s="2" t="s">
        <v>2294</v>
      </c>
      <c r="L119" s="2" t="s">
        <v>549</v>
      </c>
      <c r="M119" s="2" t="s">
        <v>2295</v>
      </c>
      <c r="N119" s="2" t="s">
        <v>2296</v>
      </c>
      <c r="O119" s="2" t="s">
        <v>2297</v>
      </c>
      <c r="P119" s="2" t="s">
        <v>2298</v>
      </c>
      <c r="Q119" s="2" t="s">
        <v>2299</v>
      </c>
      <c r="R119" s="2" t="s">
        <v>2300</v>
      </c>
      <c r="S119" s="2" t="s">
        <v>50</v>
      </c>
      <c r="T119" s="2" t="s">
        <v>2301</v>
      </c>
      <c r="U119" s="2" t="s">
        <v>2302</v>
      </c>
      <c r="V119" s="2"/>
      <c r="W119" s="2" t="s">
        <v>2303</v>
      </c>
      <c r="X119" s="2" t="s">
        <v>2304</v>
      </c>
      <c r="Y119" s="2" t="s">
        <v>2305</v>
      </c>
      <c r="Z119" s="2" t="s">
        <v>2306</v>
      </c>
      <c r="AA119" s="2"/>
      <c r="AB119" s="2"/>
      <c r="AC119" s="2" t="s">
        <v>2307</v>
      </c>
      <c r="AD119" s="2"/>
      <c r="AE119" s="2" t="s">
        <v>58</v>
      </c>
      <c r="AF119" s="2"/>
      <c r="AG119" s="3" t="str">
        <f aca="false">IF(A119="","",IF(COUNTA(O119:R119)&lt;4,"Needs 4 options",IF(ISERROR(FIND(UPPER(S119),"ABCD"))+(LEN(S119)&lt;&gt;1),"Answer must be A-D",IF(OR(D119&lt;1,D119&gt;3),"Difficulty must be 1-3",IF(OR(N119="",T119=""),"Missing question or explanation",IF(COUNTBLANK(U119:X119)&lt;&gt;1,"Need 3 why-not texts",IF(INDEX(U119:X119,1,FIND(UPPER(S119),"ABCD"))&lt;&gt;"","Why-not filled for the answer",IF(AND(B119&lt;&gt;"live",B119&lt;&gt;"draft",B119&lt;&gt;"retired"),"Status must be live/draft/retired","OK"))))))))</f>
        <v>OK</v>
      </c>
    </row>
    <row r="120" customFormat="false" ht="35.05" hidden="false" customHeight="false" outlineLevel="0" collapsed="false">
      <c r="A120" s="2" t="s">
        <v>2308</v>
      </c>
      <c r="B120" s="2" t="s">
        <v>34</v>
      </c>
      <c r="C120" s="2" t="s">
        <v>179</v>
      </c>
      <c r="D120" s="2" t="n">
        <v>2</v>
      </c>
      <c r="E120" s="2" t="s">
        <v>2309</v>
      </c>
      <c r="F120" s="2" t="s">
        <v>223</v>
      </c>
      <c r="G120" s="2" t="s">
        <v>323</v>
      </c>
      <c r="H120" s="2" t="s">
        <v>2222</v>
      </c>
      <c r="I120" s="2" t="s">
        <v>2310</v>
      </c>
      <c r="J120" s="2" t="s">
        <v>384</v>
      </c>
      <c r="K120" s="2" t="s">
        <v>2311</v>
      </c>
      <c r="L120" s="2" t="s">
        <v>549</v>
      </c>
      <c r="M120" s="2" t="s">
        <v>2312</v>
      </c>
      <c r="N120" s="2" t="s">
        <v>2313</v>
      </c>
      <c r="O120" s="2" t="s">
        <v>2314</v>
      </c>
      <c r="P120" s="2" t="s">
        <v>2315</v>
      </c>
      <c r="Q120" s="2" t="s">
        <v>2316</v>
      </c>
      <c r="R120" s="2" t="s">
        <v>2317</v>
      </c>
      <c r="S120" s="2" t="s">
        <v>50</v>
      </c>
      <c r="T120" s="2" t="s">
        <v>2318</v>
      </c>
      <c r="U120" s="2" t="s">
        <v>2319</v>
      </c>
      <c r="V120" s="2"/>
      <c r="W120" s="2" t="s">
        <v>2320</v>
      </c>
      <c r="X120" s="2" t="s">
        <v>2321</v>
      </c>
      <c r="Y120" s="2" t="s">
        <v>2322</v>
      </c>
      <c r="Z120" s="2" t="s">
        <v>2323</v>
      </c>
      <c r="AA120" s="2"/>
      <c r="AB120" s="2"/>
      <c r="AC120" s="2" t="s">
        <v>2324</v>
      </c>
      <c r="AD120" s="2"/>
      <c r="AE120" s="2" t="s">
        <v>58</v>
      </c>
      <c r="AF120" s="2"/>
      <c r="AG120" s="3" t="str">
        <f aca="false">IF(A120="","",IF(COUNTA(O120:R120)&lt;4,"Needs 4 options",IF(ISERROR(FIND(UPPER(S120),"ABCD"))+(LEN(S120)&lt;&gt;1),"Answer must be A-D",IF(OR(D120&lt;1,D120&gt;3),"Difficulty must be 1-3",IF(OR(N120="",T120=""),"Missing question or explanation",IF(COUNTBLANK(U120:X120)&lt;&gt;1,"Need 3 why-not texts",IF(INDEX(U120:X120,1,FIND(UPPER(S120),"ABCD"))&lt;&gt;"","Why-not filled for the answer",IF(AND(B120&lt;&gt;"live",B120&lt;&gt;"draft",B120&lt;&gt;"retired"),"Status must be live/draft/retired","OK"))))))))</f>
        <v>OK</v>
      </c>
    </row>
    <row r="121" customFormat="false" ht="46.25" hidden="false" customHeight="false" outlineLevel="0" collapsed="false">
      <c r="A121" s="2" t="s">
        <v>2325</v>
      </c>
      <c r="B121" s="2" t="s">
        <v>34</v>
      </c>
      <c r="C121" s="2" t="s">
        <v>179</v>
      </c>
      <c r="D121" s="2" t="n">
        <v>3</v>
      </c>
      <c r="E121" s="2" t="s">
        <v>2326</v>
      </c>
      <c r="F121" s="2" t="s">
        <v>223</v>
      </c>
      <c r="G121" s="2" t="s">
        <v>1306</v>
      </c>
      <c r="H121" s="2" t="s">
        <v>2327</v>
      </c>
      <c r="I121" s="2" t="s">
        <v>2328</v>
      </c>
      <c r="J121" s="2" t="s">
        <v>2329</v>
      </c>
      <c r="K121" s="2" t="s">
        <v>2330</v>
      </c>
      <c r="L121" s="2" t="s">
        <v>549</v>
      </c>
      <c r="M121" s="2" t="s">
        <v>2331</v>
      </c>
      <c r="N121" s="2" t="s">
        <v>2332</v>
      </c>
      <c r="O121" s="2" t="s">
        <v>2333</v>
      </c>
      <c r="P121" s="2" t="s">
        <v>2334</v>
      </c>
      <c r="Q121" s="2" t="s">
        <v>2335</v>
      </c>
      <c r="R121" s="2" t="s">
        <v>2336</v>
      </c>
      <c r="S121" s="2" t="s">
        <v>50</v>
      </c>
      <c r="T121" s="2" t="s">
        <v>2337</v>
      </c>
      <c r="U121" s="2" t="s">
        <v>2338</v>
      </c>
      <c r="V121" s="2"/>
      <c r="W121" s="2" t="s">
        <v>2339</v>
      </c>
      <c r="X121" s="2" t="s">
        <v>2340</v>
      </c>
      <c r="Y121" s="2" t="s">
        <v>2341</v>
      </c>
      <c r="Z121" s="2" t="s">
        <v>2342</v>
      </c>
      <c r="AA121" s="2"/>
      <c r="AB121" s="2"/>
      <c r="AC121" s="2" t="s">
        <v>2343</v>
      </c>
      <c r="AD121" s="2"/>
      <c r="AE121" s="2" t="s">
        <v>58</v>
      </c>
      <c r="AF121" s="2"/>
      <c r="AG121" s="3" t="str">
        <f aca="false">IF(A121="","",IF(COUNTA(O121:R121)&lt;4,"Needs 4 options",IF(ISERROR(FIND(UPPER(S121),"ABCD"))+(LEN(S121)&lt;&gt;1),"Answer must be A-D",IF(OR(D121&lt;1,D121&gt;3),"Difficulty must be 1-3",IF(OR(N121="",T121=""),"Missing question or explanation",IF(COUNTBLANK(U121:X121)&lt;&gt;1,"Need 3 why-not texts",IF(INDEX(U121:X121,1,FIND(UPPER(S121),"ABCD"))&lt;&gt;"","Why-not filled for the answer",IF(AND(B121&lt;&gt;"live",B121&lt;&gt;"draft",B121&lt;&gt;"retired"),"Status must be live/draft/retired","OK"))))))))</f>
        <v>OK</v>
      </c>
    </row>
    <row r="122" customFormat="false" ht="46.25" hidden="false" customHeight="false" outlineLevel="0" collapsed="false">
      <c r="A122" s="2" t="s">
        <v>2344</v>
      </c>
      <c r="B122" s="2" t="s">
        <v>34</v>
      </c>
      <c r="C122" s="2" t="s">
        <v>179</v>
      </c>
      <c r="D122" s="2" t="n">
        <v>2</v>
      </c>
      <c r="E122" s="2" t="s">
        <v>2345</v>
      </c>
      <c r="F122" s="2" t="s">
        <v>223</v>
      </c>
      <c r="G122" s="2" t="s">
        <v>323</v>
      </c>
      <c r="H122" s="2" t="s">
        <v>2346</v>
      </c>
      <c r="I122" s="2" t="s">
        <v>2347</v>
      </c>
      <c r="J122" s="2" t="s">
        <v>2348</v>
      </c>
      <c r="K122" s="2" t="s">
        <v>2349</v>
      </c>
      <c r="L122" s="2" t="s">
        <v>549</v>
      </c>
      <c r="M122" s="2" t="s">
        <v>2350</v>
      </c>
      <c r="N122" s="2" t="s">
        <v>2351</v>
      </c>
      <c r="O122" s="2" t="s">
        <v>2352</v>
      </c>
      <c r="P122" s="2" t="s">
        <v>2353</v>
      </c>
      <c r="Q122" s="2" t="s">
        <v>2354</v>
      </c>
      <c r="R122" s="2" t="s">
        <v>2355</v>
      </c>
      <c r="S122" s="2" t="s">
        <v>50</v>
      </c>
      <c r="T122" s="2" t="s">
        <v>2356</v>
      </c>
      <c r="U122" s="2" t="s">
        <v>2357</v>
      </c>
      <c r="V122" s="2"/>
      <c r="W122" s="2" t="s">
        <v>2358</v>
      </c>
      <c r="X122" s="2" t="s">
        <v>2359</v>
      </c>
      <c r="Y122" s="2" t="s">
        <v>2360</v>
      </c>
      <c r="Z122" s="2" t="s">
        <v>2361</v>
      </c>
      <c r="AA122" s="2"/>
      <c r="AB122" s="2"/>
      <c r="AC122" s="2" t="s">
        <v>2362</v>
      </c>
      <c r="AD122" s="2"/>
      <c r="AE122" s="2" t="s">
        <v>58</v>
      </c>
      <c r="AF122" s="2"/>
      <c r="AG122" s="3" t="str">
        <f aca="false">IF(A122="","",IF(COUNTA(O122:R122)&lt;4,"Needs 4 options",IF(ISERROR(FIND(UPPER(S122),"ABCD"))+(LEN(S122)&lt;&gt;1),"Answer must be A-D",IF(OR(D122&lt;1,D122&gt;3),"Difficulty must be 1-3",IF(OR(N122="",T122=""),"Missing question or explanation",IF(COUNTBLANK(U122:X122)&lt;&gt;1,"Need 3 why-not texts",IF(INDEX(U122:X122,1,FIND(UPPER(S122),"ABCD"))&lt;&gt;"","Why-not filled for the answer",IF(AND(B122&lt;&gt;"live",B122&lt;&gt;"draft",B122&lt;&gt;"retired"),"Status must be live/draft/retired","OK"))))))))</f>
        <v>OK</v>
      </c>
    </row>
    <row r="123" customFormat="false" ht="23.85" hidden="false" customHeight="false" outlineLevel="0" collapsed="false">
      <c r="A123" s="2" t="s">
        <v>2363</v>
      </c>
      <c r="B123" s="2" t="s">
        <v>34</v>
      </c>
      <c r="C123" s="2" t="s">
        <v>179</v>
      </c>
      <c r="D123" s="2" t="n">
        <v>3</v>
      </c>
      <c r="E123" s="2" t="s">
        <v>2364</v>
      </c>
      <c r="F123" s="2" t="s">
        <v>223</v>
      </c>
      <c r="G123" s="2" t="s">
        <v>264</v>
      </c>
      <c r="H123" s="2" t="s">
        <v>2365</v>
      </c>
      <c r="I123" s="2" t="s">
        <v>2366</v>
      </c>
      <c r="J123" s="2" t="s">
        <v>2329</v>
      </c>
      <c r="K123" s="2" t="s">
        <v>2367</v>
      </c>
      <c r="L123" s="2" t="s">
        <v>549</v>
      </c>
      <c r="M123" s="2" t="s">
        <v>2368</v>
      </c>
      <c r="N123" s="2" t="s">
        <v>2369</v>
      </c>
      <c r="O123" s="2" t="s">
        <v>2370</v>
      </c>
      <c r="P123" s="2" t="s">
        <v>2371</v>
      </c>
      <c r="Q123" s="2" t="s">
        <v>2372</v>
      </c>
      <c r="R123" s="2" t="s">
        <v>2373</v>
      </c>
      <c r="S123" s="2" t="s">
        <v>50</v>
      </c>
      <c r="T123" s="2" t="s">
        <v>2374</v>
      </c>
      <c r="U123" s="2" t="s">
        <v>2375</v>
      </c>
      <c r="V123" s="2"/>
      <c r="W123" s="2" t="s">
        <v>2376</v>
      </c>
      <c r="X123" s="2" t="s">
        <v>2377</v>
      </c>
      <c r="Y123" s="2" t="s">
        <v>2378</v>
      </c>
      <c r="Z123" s="2" t="s">
        <v>2379</v>
      </c>
      <c r="AA123" s="2"/>
      <c r="AB123" s="2"/>
      <c r="AC123" s="2" t="s">
        <v>2380</v>
      </c>
      <c r="AD123" s="2"/>
      <c r="AE123" s="2" t="s">
        <v>58</v>
      </c>
      <c r="AF123" s="2"/>
      <c r="AG123" s="3" t="str">
        <f aca="false">IF(A123="","",IF(COUNTA(O123:R123)&lt;4,"Needs 4 options",IF(ISERROR(FIND(UPPER(S123),"ABCD"))+(LEN(S123)&lt;&gt;1),"Answer must be A-D",IF(OR(D123&lt;1,D123&gt;3),"Difficulty must be 1-3",IF(OR(N123="",T123=""),"Missing question or explanation",IF(COUNTBLANK(U123:X123)&lt;&gt;1,"Need 3 why-not texts",IF(INDEX(U123:X123,1,FIND(UPPER(S123),"ABCD"))&lt;&gt;"","Why-not filled for the answer",IF(AND(B123&lt;&gt;"live",B123&lt;&gt;"draft",B123&lt;&gt;"retired"),"Status must be live/draft/retired","OK"))))))))</f>
        <v>OK</v>
      </c>
    </row>
    <row r="124" customFormat="false" ht="102.2" hidden="false" customHeight="false" outlineLevel="0" collapsed="false">
      <c r="A124" s="2" t="s">
        <v>2381</v>
      </c>
      <c r="B124" s="2" t="s">
        <v>34</v>
      </c>
      <c r="C124" s="2" t="s">
        <v>179</v>
      </c>
      <c r="D124" s="2" t="n">
        <v>3</v>
      </c>
      <c r="E124" s="2" t="s">
        <v>2382</v>
      </c>
      <c r="F124" s="2" t="s">
        <v>2383</v>
      </c>
      <c r="G124" s="2" t="s">
        <v>2384</v>
      </c>
      <c r="H124" s="2" t="s">
        <v>160</v>
      </c>
      <c r="I124" s="2" t="s">
        <v>2385</v>
      </c>
      <c r="J124" s="2" t="s">
        <v>2386</v>
      </c>
      <c r="K124" s="2" t="s">
        <v>2387</v>
      </c>
      <c r="L124" s="2" t="s">
        <v>549</v>
      </c>
      <c r="M124" s="2" t="s">
        <v>2388</v>
      </c>
      <c r="N124" s="2" t="s">
        <v>2389</v>
      </c>
      <c r="O124" s="2" t="s">
        <v>2390</v>
      </c>
      <c r="P124" s="2" t="s">
        <v>2391</v>
      </c>
      <c r="Q124" s="2" t="s">
        <v>2392</v>
      </c>
      <c r="R124" s="2" t="s">
        <v>2393</v>
      </c>
      <c r="S124" s="2" t="s">
        <v>50</v>
      </c>
      <c r="T124" s="2" t="s">
        <v>2394</v>
      </c>
      <c r="U124" s="2" t="s">
        <v>2395</v>
      </c>
      <c r="V124" s="2"/>
      <c r="W124" s="2" t="s">
        <v>2396</v>
      </c>
      <c r="X124" s="2" t="s">
        <v>2397</v>
      </c>
      <c r="Y124" s="2" t="s">
        <v>2398</v>
      </c>
      <c r="Z124" s="2" t="s">
        <v>2399</v>
      </c>
      <c r="AA124" s="2"/>
      <c r="AB124" s="2"/>
      <c r="AC124" s="2" t="s">
        <v>2400</v>
      </c>
      <c r="AD124" s="2"/>
      <c r="AE124" s="2" t="s">
        <v>58</v>
      </c>
      <c r="AF124" s="2"/>
      <c r="AG124" s="3" t="str">
        <f aca="false">IF(A124="","",IF(COUNTA(O124:R124)&lt;4,"Needs 4 options",IF(ISERROR(FIND(UPPER(S124),"ABCD"))+(LEN(S124)&lt;&gt;1),"Answer must be A-D",IF(OR(D124&lt;1,D124&gt;3),"Difficulty must be 1-3",IF(OR(N124="",T124=""),"Missing question or explanation",IF(COUNTBLANK(U124:X124)&lt;&gt;1,"Need 3 why-not texts",IF(INDEX(U124:X124,1,FIND(UPPER(S124),"ABCD"))&lt;&gt;"","Why-not filled for the answer",IF(AND(B124&lt;&gt;"live",B124&lt;&gt;"draft",B124&lt;&gt;"retired"),"Status must be live/draft/retired","OK"))))))))</f>
        <v>OK</v>
      </c>
    </row>
    <row r="125" customFormat="false" ht="57.45" hidden="false" customHeight="false" outlineLevel="0" collapsed="false">
      <c r="A125" s="2" t="s">
        <v>2401</v>
      </c>
      <c r="B125" s="2" t="s">
        <v>34</v>
      </c>
      <c r="C125" s="2" t="s">
        <v>179</v>
      </c>
      <c r="D125" s="2" t="n">
        <v>3</v>
      </c>
      <c r="E125" s="2" t="s">
        <v>2402</v>
      </c>
      <c r="F125" s="2" t="s">
        <v>223</v>
      </c>
      <c r="G125" s="2" t="s">
        <v>2403</v>
      </c>
      <c r="H125" s="2" t="s">
        <v>2404</v>
      </c>
      <c r="I125" s="2" t="s">
        <v>2405</v>
      </c>
      <c r="J125" s="2" t="s">
        <v>1042</v>
      </c>
      <c r="K125" s="2" t="s">
        <v>2406</v>
      </c>
      <c r="L125" s="2" t="s">
        <v>2407</v>
      </c>
      <c r="M125" s="2" t="s">
        <v>2408</v>
      </c>
      <c r="N125" s="2" t="s">
        <v>2409</v>
      </c>
      <c r="O125" s="2" t="s">
        <v>2410</v>
      </c>
      <c r="P125" s="2" t="s">
        <v>2411</v>
      </c>
      <c r="Q125" s="2" t="s">
        <v>2412</v>
      </c>
      <c r="R125" s="2" t="s">
        <v>2413</v>
      </c>
      <c r="S125" s="2" t="s">
        <v>50</v>
      </c>
      <c r="T125" s="2" t="s">
        <v>2414</v>
      </c>
      <c r="U125" s="2" t="s">
        <v>2415</v>
      </c>
      <c r="V125" s="2"/>
      <c r="W125" s="2" t="s">
        <v>2416</v>
      </c>
      <c r="X125" s="2" t="s">
        <v>2417</v>
      </c>
      <c r="Y125" s="2" t="s">
        <v>2418</v>
      </c>
      <c r="Z125" s="2" t="s">
        <v>2419</v>
      </c>
      <c r="AA125" s="2"/>
      <c r="AB125" s="2"/>
      <c r="AC125" s="2" t="s">
        <v>2420</v>
      </c>
      <c r="AD125" s="2"/>
      <c r="AE125" s="2" t="s">
        <v>58</v>
      </c>
      <c r="AF125" s="2"/>
      <c r="AG125" s="3" t="str">
        <f aca="false">IF(A125="","",IF(COUNTA(O125:R125)&lt;4,"Needs 4 options",IF(ISERROR(FIND(UPPER(S125),"ABCD"))+(LEN(S125)&lt;&gt;1),"Answer must be A-D",IF(OR(D125&lt;1,D125&gt;3),"Difficulty must be 1-3",IF(OR(N125="",T125=""),"Missing question or explanation",IF(COUNTBLANK(U125:X125)&lt;&gt;1,"Need 3 why-not texts",IF(INDEX(U125:X125,1,FIND(UPPER(S125),"ABCD"))&lt;&gt;"","Why-not filled for the answer",IF(AND(B125&lt;&gt;"live",B125&lt;&gt;"draft",B125&lt;&gt;"retired"),"Status must be live/draft/retired","OK"))))))))</f>
        <v>OK</v>
      </c>
    </row>
    <row r="126" customFormat="false" ht="57.45" hidden="false" customHeight="false" outlineLevel="0" collapsed="false">
      <c r="A126" s="2" t="s">
        <v>2421</v>
      </c>
      <c r="B126" s="2" t="s">
        <v>34</v>
      </c>
      <c r="C126" s="2" t="s">
        <v>179</v>
      </c>
      <c r="D126" s="2" t="n">
        <v>2</v>
      </c>
      <c r="E126" s="2" t="s">
        <v>2422</v>
      </c>
      <c r="F126" s="2" t="s">
        <v>2383</v>
      </c>
      <c r="G126" s="2" t="s">
        <v>2423</v>
      </c>
      <c r="H126" s="2" t="s">
        <v>922</v>
      </c>
      <c r="I126" s="2" t="s">
        <v>2424</v>
      </c>
      <c r="J126" s="2" t="s">
        <v>2425</v>
      </c>
      <c r="K126" s="2" t="s">
        <v>2426</v>
      </c>
      <c r="L126" s="2" t="s">
        <v>549</v>
      </c>
      <c r="M126" s="2" t="s">
        <v>2427</v>
      </c>
      <c r="N126" s="2" t="s">
        <v>2428</v>
      </c>
      <c r="O126" s="2" t="s">
        <v>2429</v>
      </c>
      <c r="P126" s="2" t="s">
        <v>2430</v>
      </c>
      <c r="Q126" s="2" t="s">
        <v>2431</v>
      </c>
      <c r="R126" s="2" t="s">
        <v>2432</v>
      </c>
      <c r="S126" s="2" t="s">
        <v>50</v>
      </c>
      <c r="T126" s="2" t="s">
        <v>2433</v>
      </c>
      <c r="U126" s="2" t="s">
        <v>2434</v>
      </c>
      <c r="V126" s="2"/>
      <c r="W126" s="2" t="s">
        <v>2435</v>
      </c>
      <c r="X126" s="2" t="s">
        <v>2436</v>
      </c>
      <c r="Y126" s="2" t="s">
        <v>2437</v>
      </c>
      <c r="Z126" s="2" t="s">
        <v>2438</v>
      </c>
      <c r="AA126" s="2" t="s">
        <v>2439</v>
      </c>
      <c r="AB126" s="2" t="s">
        <v>2440</v>
      </c>
      <c r="AC126" s="2" t="s">
        <v>2441</v>
      </c>
      <c r="AD126" s="2"/>
      <c r="AE126" s="2" t="s">
        <v>58</v>
      </c>
      <c r="AF126" s="2"/>
      <c r="AG126" s="3" t="str">
        <f aca="false">IF(A126="","",IF(COUNTA(O126:R126)&lt;4,"Needs 4 options",IF(ISERROR(FIND(UPPER(S126),"ABCD"))+(LEN(S126)&lt;&gt;1),"Answer must be A-D",IF(OR(D126&lt;1,D126&gt;3),"Difficulty must be 1-3",IF(OR(N126="",T126=""),"Missing question or explanation",IF(COUNTBLANK(U126:X126)&lt;&gt;1,"Need 3 why-not texts",IF(INDEX(U126:X126,1,FIND(UPPER(S126),"ABCD"))&lt;&gt;"","Why-not filled for the answer",IF(AND(B126&lt;&gt;"live",B126&lt;&gt;"draft",B126&lt;&gt;"retired"),"Status must be live/draft/retired","OK"))))))))</f>
        <v>OK</v>
      </c>
    </row>
    <row r="127" customFormat="false" ht="135.8" hidden="false" customHeight="false" outlineLevel="0" collapsed="false">
      <c r="A127" s="2" t="s">
        <v>2442</v>
      </c>
      <c r="B127" s="2" t="s">
        <v>34</v>
      </c>
      <c r="C127" s="2" t="s">
        <v>179</v>
      </c>
      <c r="D127" s="2" t="n">
        <v>3</v>
      </c>
      <c r="E127" s="2" t="s">
        <v>2443</v>
      </c>
      <c r="F127" s="2" t="s">
        <v>2444</v>
      </c>
      <c r="G127" s="2" t="s">
        <v>2445</v>
      </c>
      <c r="H127" s="2" t="s">
        <v>2446</v>
      </c>
      <c r="I127" s="2" t="s">
        <v>2447</v>
      </c>
      <c r="J127" s="2" t="s">
        <v>384</v>
      </c>
      <c r="K127" s="2" t="s">
        <v>2448</v>
      </c>
      <c r="L127" s="2" t="s">
        <v>549</v>
      </c>
      <c r="M127" s="2" t="s">
        <v>2449</v>
      </c>
      <c r="N127" s="2" t="s">
        <v>2450</v>
      </c>
      <c r="O127" s="2" t="s">
        <v>2451</v>
      </c>
      <c r="P127" s="2" t="s">
        <v>2452</v>
      </c>
      <c r="Q127" s="2" t="s">
        <v>329</v>
      </c>
      <c r="R127" s="2" t="s">
        <v>2453</v>
      </c>
      <c r="S127" s="2" t="s">
        <v>50</v>
      </c>
      <c r="T127" s="2" t="s">
        <v>2454</v>
      </c>
      <c r="U127" s="2" t="s">
        <v>2455</v>
      </c>
      <c r="V127" s="2"/>
      <c r="W127" s="2" t="s">
        <v>2456</v>
      </c>
      <c r="X127" s="2" t="s">
        <v>2457</v>
      </c>
      <c r="Y127" s="2" t="s">
        <v>2458</v>
      </c>
      <c r="Z127" s="2" t="s">
        <v>2459</v>
      </c>
      <c r="AA127" s="2"/>
      <c r="AB127" s="2"/>
      <c r="AC127" s="2" t="s">
        <v>2460</v>
      </c>
      <c r="AD127" s="2"/>
      <c r="AE127" s="2" t="s">
        <v>58</v>
      </c>
      <c r="AF127" s="2"/>
      <c r="AG127" s="3" t="str">
        <f aca="false">IF(A127="","",IF(COUNTA(O127:R127)&lt;4,"Needs 4 options",IF(ISERROR(FIND(UPPER(S127),"ABCD"))+(LEN(S127)&lt;&gt;1),"Answer must be A-D",IF(OR(D127&lt;1,D127&gt;3),"Difficulty must be 1-3",IF(OR(N127="",T127=""),"Missing question or explanation",IF(COUNTBLANK(U127:X127)&lt;&gt;1,"Need 3 why-not texts",IF(INDEX(U127:X127,1,FIND(UPPER(S127),"ABCD"))&lt;&gt;"","Why-not filled for the answer",IF(AND(B127&lt;&gt;"live",B127&lt;&gt;"draft",B127&lt;&gt;"retired"),"Status must be live/draft/retired","OK"))))))))</f>
        <v>OK</v>
      </c>
    </row>
    <row r="128" customFormat="false" ht="46.25" hidden="false" customHeight="false" outlineLevel="0" collapsed="false">
      <c r="A128" s="2" t="s">
        <v>2461</v>
      </c>
      <c r="B128" s="2" t="s">
        <v>34</v>
      </c>
      <c r="C128" s="2" t="s">
        <v>179</v>
      </c>
      <c r="D128" s="2" t="n">
        <v>2</v>
      </c>
      <c r="E128" s="2" t="s">
        <v>2462</v>
      </c>
      <c r="F128" s="2" t="s">
        <v>181</v>
      </c>
      <c r="G128" s="2" t="s">
        <v>2463</v>
      </c>
      <c r="H128" s="2" t="s">
        <v>183</v>
      </c>
      <c r="I128" s="2" t="s">
        <v>2464</v>
      </c>
      <c r="J128" s="2" t="s">
        <v>2465</v>
      </c>
      <c r="K128" s="2" t="s">
        <v>2466</v>
      </c>
      <c r="L128" s="2" t="s">
        <v>549</v>
      </c>
      <c r="M128" s="2" t="s">
        <v>2467</v>
      </c>
      <c r="N128" s="2" t="s">
        <v>2468</v>
      </c>
      <c r="O128" s="2" t="s">
        <v>2469</v>
      </c>
      <c r="P128" s="2" t="s">
        <v>2470</v>
      </c>
      <c r="Q128" s="2" t="s">
        <v>2471</v>
      </c>
      <c r="R128" s="2" t="s">
        <v>2472</v>
      </c>
      <c r="S128" s="2" t="s">
        <v>50</v>
      </c>
      <c r="T128" s="2" t="s">
        <v>2473</v>
      </c>
      <c r="U128" s="2" t="s">
        <v>2474</v>
      </c>
      <c r="V128" s="2"/>
      <c r="W128" s="2" t="s">
        <v>2475</v>
      </c>
      <c r="X128" s="2" t="s">
        <v>2476</v>
      </c>
      <c r="Y128" s="2" t="s">
        <v>2477</v>
      </c>
      <c r="Z128" s="2" t="s">
        <v>2478</v>
      </c>
      <c r="AA128" s="2"/>
      <c r="AB128" s="2"/>
      <c r="AC128" s="2" t="s">
        <v>2479</v>
      </c>
      <c r="AD128" s="2"/>
      <c r="AE128" s="2" t="s">
        <v>58</v>
      </c>
      <c r="AF128" s="2"/>
      <c r="AG128" s="3" t="str">
        <f aca="false">IF(A128="","",IF(COUNTA(O128:R128)&lt;4,"Needs 4 options",IF(ISERROR(FIND(UPPER(S128),"ABCD"))+(LEN(S128)&lt;&gt;1),"Answer must be A-D",IF(OR(D128&lt;1,D128&gt;3),"Difficulty must be 1-3",IF(OR(N128="",T128=""),"Missing question or explanation",IF(COUNTBLANK(U128:X128)&lt;&gt;1,"Need 3 why-not texts",IF(INDEX(U128:X128,1,FIND(UPPER(S128),"ABCD"))&lt;&gt;"","Why-not filled for the answer",IF(AND(B128&lt;&gt;"live",B128&lt;&gt;"draft",B128&lt;&gt;"retired"),"Status must be live/draft/retired","OK"))))))))</f>
        <v>OK</v>
      </c>
    </row>
    <row r="129" customFormat="false" ht="46.25" hidden="false" customHeight="false" outlineLevel="0" collapsed="false">
      <c r="A129" s="2" t="s">
        <v>2480</v>
      </c>
      <c r="B129" s="2" t="s">
        <v>34</v>
      </c>
      <c r="C129" s="2" t="s">
        <v>179</v>
      </c>
      <c r="D129" s="2" t="n">
        <v>2</v>
      </c>
      <c r="E129" s="2" t="s">
        <v>2481</v>
      </c>
      <c r="F129" s="2" t="s">
        <v>2482</v>
      </c>
      <c r="G129" s="2" t="s">
        <v>2483</v>
      </c>
      <c r="H129" s="2" t="s">
        <v>248</v>
      </c>
      <c r="I129" s="2" t="s">
        <v>2484</v>
      </c>
      <c r="J129" s="2" t="s">
        <v>2485</v>
      </c>
      <c r="K129" s="2" t="s">
        <v>2486</v>
      </c>
      <c r="L129" s="2" t="s">
        <v>549</v>
      </c>
      <c r="M129" s="2" t="s">
        <v>2487</v>
      </c>
      <c r="N129" s="2" t="s">
        <v>2488</v>
      </c>
      <c r="O129" s="2" t="s">
        <v>2489</v>
      </c>
      <c r="P129" s="2" t="s">
        <v>2490</v>
      </c>
      <c r="Q129" s="2" t="s">
        <v>2491</v>
      </c>
      <c r="R129" s="2" t="s">
        <v>2492</v>
      </c>
      <c r="S129" s="2" t="s">
        <v>50</v>
      </c>
      <c r="T129" s="2" t="s">
        <v>2493</v>
      </c>
      <c r="U129" s="2" t="s">
        <v>2494</v>
      </c>
      <c r="V129" s="2"/>
      <c r="W129" s="2" t="s">
        <v>2495</v>
      </c>
      <c r="X129" s="2" t="s">
        <v>2496</v>
      </c>
      <c r="Y129" s="2" t="s">
        <v>2497</v>
      </c>
      <c r="Z129" s="2" t="s">
        <v>2498</v>
      </c>
      <c r="AA129" s="2"/>
      <c r="AB129" s="2"/>
      <c r="AC129" s="2" t="s">
        <v>2499</v>
      </c>
      <c r="AD129" s="2"/>
      <c r="AE129" s="2" t="s">
        <v>58</v>
      </c>
      <c r="AF129" s="2"/>
      <c r="AG129" s="3" t="str">
        <f aca="false">IF(A129="","",IF(COUNTA(O129:R129)&lt;4,"Needs 4 options",IF(ISERROR(FIND(UPPER(S129),"ABCD"))+(LEN(S129)&lt;&gt;1),"Answer must be A-D",IF(OR(D129&lt;1,D129&gt;3),"Difficulty must be 1-3",IF(OR(N129="",T129=""),"Missing question or explanation",IF(COUNTBLANK(U129:X129)&lt;&gt;1,"Need 3 why-not texts",IF(INDEX(U129:X129,1,FIND(UPPER(S129),"ABCD"))&lt;&gt;"","Why-not filled for the answer",IF(AND(B129&lt;&gt;"live",B129&lt;&gt;"draft",B129&lt;&gt;"retired"),"Status must be live/draft/retired","OK"))))))))</f>
        <v>OK</v>
      </c>
    </row>
    <row r="130" customFormat="false" ht="35.05" hidden="false" customHeight="false" outlineLevel="0" collapsed="false">
      <c r="A130" s="2" t="s">
        <v>2500</v>
      </c>
      <c r="B130" s="2" t="s">
        <v>34</v>
      </c>
      <c r="C130" s="2" t="s">
        <v>179</v>
      </c>
      <c r="D130" s="2" t="n">
        <v>3</v>
      </c>
      <c r="E130" s="2" t="s">
        <v>2501</v>
      </c>
      <c r="F130" s="2" t="s">
        <v>181</v>
      </c>
      <c r="G130" s="2" t="s">
        <v>2502</v>
      </c>
      <c r="H130" s="2" t="s">
        <v>183</v>
      </c>
      <c r="I130" s="2" t="s">
        <v>2503</v>
      </c>
      <c r="J130" s="2" t="s">
        <v>2504</v>
      </c>
      <c r="K130" s="2" t="s">
        <v>2505</v>
      </c>
      <c r="L130" s="2" t="s">
        <v>549</v>
      </c>
      <c r="M130" s="2" t="s">
        <v>2506</v>
      </c>
      <c r="N130" s="2" t="s">
        <v>2467</v>
      </c>
      <c r="O130" s="2" t="s">
        <v>2507</v>
      </c>
      <c r="P130" s="2" t="s">
        <v>2508</v>
      </c>
      <c r="Q130" s="2" t="s">
        <v>2509</v>
      </c>
      <c r="R130" s="2" t="s">
        <v>2510</v>
      </c>
      <c r="S130" s="2" t="s">
        <v>50</v>
      </c>
      <c r="T130" s="2" t="s">
        <v>2511</v>
      </c>
      <c r="U130" s="2" t="s">
        <v>2512</v>
      </c>
      <c r="V130" s="2"/>
      <c r="W130" s="2" t="s">
        <v>2513</v>
      </c>
      <c r="X130" s="2" t="s">
        <v>2514</v>
      </c>
      <c r="Y130" s="2" t="s">
        <v>2515</v>
      </c>
      <c r="Z130" s="2" t="s">
        <v>2516</v>
      </c>
      <c r="AA130" s="2"/>
      <c r="AB130" s="2"/>
      <c r="AC130" s="2" t="s">
        <v>2517</v>
      </c>
      <c r="AD130" s="2"/>
      <c r="AE130" s="2" t="s">
        <v>58</v>
      </c>
      <c r="AF130" s="2"/>
      <c r="AG130" s="3" t="str">
        <f aca="false">IF(A130="","",IF(COUNTA(O130:R130)&lt;4,"Needs 4 options",IF(ISERROR(FIND(UPPER(S130),"ABCD"))+(LEN(S130)&lt;&gt;1),"Answer must be A-D",IF(OR(D130&lt;1,D130&gt;3),"Difficulty must be 1-3",IF(OR(N130="",T130=""),"Missing question or explanation",IF(COUNTBLANK(U130:X130)&lt;&gt;1,"Need 3 why-not texts",IF(INDEX(U130:X130,1,FIND(UPPER(S130),"ABCD"))&lt;&gt;"","Why-not filled for the answer",IF(AND(B130&lt;&gt;"live",B130&lt;&gt;"draft",B130&lt;&gt;"retired"),"Status must be live/draft/retired","OK"))))))))</f>
        <v>OK</v>
      </c>
    </row>
    <row r="131" customFormat="false" ht="57.45" hidden="false" customHeight="false" outlineLevel="0" collapsed="false">
      <c r="A131" s="2" t="s">
        <v>2518</v>
      </c>
      <c r="B131" s="2" t="s">
        <v>34</v>
      </c>
      <c r="C131" s="2" t="s">
        <v>179</v>
      </c>
      <c r="D131" s="2" t="n">
        <v>2</v>
      </c>
      <c r="E131" s="2" t="s">
        <v>2519</v>
      </c>
      <c r="F131" s="2" t="s">
        <v>181</v>
      </c>
      <c r="G131" s="2" t="s">
        <v>2520</v>
      </c>
      <c r="H131" s="2" t="s">
        <v>183</v>
      </c>
      <c r="I131" s="2" t="s">
        <v>2521</v>
      </c>
      <c r="J131" s="2" t="s">
        <v>2522</v>
      </c>
      <c r="K131" s="2" t="s">
        <v>2523</v>
      </c>
      <c r="L131" s="2" t="s">
        <v>549</v>
      </c>
      <c r="M131" s="2" t="s">
        <v>2524</v>
      </c>
      <c r="N131" s="2" t="s">
        <v>2525</v>
      </c>
      <c r="O131" s="2" t="s">
        <v>2526</v>
      </c>
      <c r="P131" s="2" t="s">
        <v>2527</v>
      </c>
      <c r="Q131" s="2" t="s">
        <v>2528</v>
      </c>
      <c r="R131" s="2" t="s">
        <v>2529</v>
      </c>
      <c r="S131" s="2" t="s">
        <v>50</v>
      </c>
      <c r="T131" s="2" t="s">
        <v>2530</v>
      </c>
      <c r="U131" s="2" t="s">
        <v>2531</v>
      </c>
      <c r="V131" s="2"/>
      <c r="W131" s="2" t="s">
        <v>2532</v>
      </c>
      <c r="X131" s="2" t="s">
        <v>2533</v>
      </c>
      <c r="Y131" s="2" t="s">
        <v>2534</v>
      </c>
      <c r="Z131" s="2" t="s">
        <v>2535</v>
      </c>
      <c r="AA131" s="2" t="s">
        <v>2536</v>
      </c>
      <c r="AB131" s="2" t="s">
        <v>2537</v>
      </c>
      <c r="AC131" s="2" t="s">
        <v>2538</v>
      </c>
      <c r="AD131" s="2"/>
      <c r="AE131" s="2" t="s">
        <v>58</v>
      </c>
      <c r="AF131" s="2"/>
      <c r="AG131" s="3" t="str">
        <f aca="false">IF(A131="","",IF(COUNTA(O131:R131)&lt;4,"Needs 4 options",IF(ISERROR(FIND(UPPER(S131),"ABCD"))+(LEN(S131)&lt;&gt;1),"Answer must be A-D",IF(OR(D131&lt;1,D131&gt;3),"Difficulty must be 1-3",IF(OR(N131="",T131=""),"Missing question or explanation",IF(COUNTBLANK(U131:X131)&lt;&gt;1,"Need 3 why-not texts",IF(INDEX(U131:X131,1,FIND(UPPER(S131),"ABCD"))&lt;&gt;"","Why-not filled for the answer",IF(AND(B131&lt;&gt;"live",B131&lt;&gt;"draft",B131&lt;&gt;"retired"),"Status must be live/draft/retired","OK"))))))))</f>
        <v>OK</v>
      </c>
    </row>
    <row r="132" customFormat="false" ht="113.4" hidden="false" customHeight="false" outlineLevel="0" collapsed="false">
      <c r="A132" s="2" t="s">
        <v>2539</v>
      </c>
      <c r="B132" s="2" t="s">
        <v>34</v>
      </c>
      <c r="C132" s="2" t="s">
        <v>179</v>
      </c>
      <c r="D132" s="2" t="n">
        <v>3</v>
      </c>
      <c r="E132" s="2" t="s">
        <v>2540</v>
      </c>
      <c r="F132" s="2" t="s">
        <v>2541</v>
      </c>
      <c r="G132" s="2" t="s">
        <v>2542</v>
      </c>
      <c r="H132" s="2" t="s">
        <v>2543</v>
      </c>
      <c r="I132" s="2" t="s">
        <v>2544</v>
      </c>
      <c r="J132" s="2" t="s">
        <v>2545</v>
      </c>
      <c r="K132" s="2" t="s">
        <v>2546</v>
      </c>
      <c r="L132" s="2" t="s">
        <v>549</v>
      </c>
      <c r="M132" s="2" t="s">
        <v>2368</v>
      </c>
      <c r="N132" s="2" t="s">
        <v>2547</v>
      </c>
      <c r="O132" s="2" t="s">
        <v>2548</v>
      </c>
      <c r="P132" s="2" t="s">
        <v>2549</v>
      </c>
      <c r="Q132" s="2" t="s">
        <v>2550</v>
      </c>
      <c r="R132" s="2" t="s">
        <v>2551</v>
      </c>
      <c r="S132" s="2" t="s">
        <v>50</v>
      </c>
      <c r="T132" s="2" t="s">
        <v>2552</v>
      </c>
      <c r="U132" s="2" t="s">
        <v>2553</v>
      </c>
      <c r="V132" s="2"/>
      <c r="W132" s="2" t="s">
        <v>2554</v>
      </c>
      <c r="X132" s="2" t="s">
        <v>2555</v>
      </c>
      <c r="Y132" s="2" t="s">
        <v>2556</v>
      </c>
      <c r="Z132" s="2" t="s">
        <v>2557</v>
      </c>
      <c r="AA132" s="2"/>
      <c r="AB132" s="2"/>
      <c r="AC132" s="2" t="s">
        <v>2558</v>
      </c>
      <c r="AD132" s="2"/>
      <c r="AE132" s="2" t="s">
        <v>58</v>
      </c>
      <c r="AF132" s="2"/>
      <c r="AG132" s="3" t="str">
        <f aca="false">IF(A132="","",IF(COUNTA(O132:R132)&lt;4,"Needs 4 options",IF(ISERROR(FIND(UPPER(S132),"ABCD"))+(LEN(S132)&lt;&gt;1),"Answer must be A-D",IF(OR(D132&lt;1,D132&gt;3),"Difficulty must be 1-3",IF(OR(N132="",T132=""),"Missing question or explanation",IF(COUNTBLANK(U132:X132)&lt;&gt;1,"Need 3 why-not texts",IF(INDEX(U132:X132,1,FIND(UPPER(S132),"ABCD"))&lt;&gt;"","Why-not filled for the answer",IF(AND(B132&lt;&gt;"live",B132&lt;&gt;"draft",B132&lt;&gt;"retired"),"Status must be live/draft/retired","OK"))))))))</f>
        <v>OK</v>
      </c>
    </row>
    <row r="133" customFormat="false" ht="57.45" hidden="false" customHeight="false" outlineLevel="0" collapsed="false">
      <c r="A133" s="2" t="s">
        <v>2559</v>
      </c>
      <c r="B133" s="2" t="s">
        <v>34</v>
      </c>
      <c r="C133" s="2" t="s">
        <v>179</v>
      </c>
      <c r="D133" s="2" t="n">
        <v>3</v>
      </c>
      <c r="E133" s="2" t="s">
        <v>2560</v>
      </c>
      <c r="F133" s="2" t="s">
        <v>1058</v>
      </c>
      <c r="G133" s="2" t="s">
        <v>471</v>
      </c>
      <c r="H133" s="2" t="s">
        <v>2561</v>
      </c>
      <c r="I133" s="2" t="s">
        <v>2562</v>
      </c>
      <c r="J133" s="2" t="s">
        <v>388</v>
      </c>
      <c r="K133" s="2" t="s">
        <v>2563</v>
      </c>
      <c r="L133" s="2" t="s">
        <v>549</v>
      </c>
      <c r="M133" s="2" t="s">
        <v>2564</v>
      </c>
      <c r="N133" s="2" t="s">
        <v>2565</v>
      </c>
      <c r="O133" s="2" t="s">
        <v>2566</v>
      </c>
      <c r="P133" s="2" t="s">
        <v>2567</v>
      </c>
      <c r="Q133" s="2" t="s">
        <v>2568</v>
      </c>
      <c r="R133" s="2" t="s">
        <v>2569</v>
      </c>
      <c r="S133" s="2" t="s">
        <v>50</v>
      </c>
      <c r="T133" s="2" t="s">
        <v>2570</v>
      </c>
      <c r="U133" s="2" t="s">
        <v>2571</v>
      </c>
      <c r="V133" s="2"/>
      <c r="W133" s="2" t="s">
        <v>2572</v>
      </c>
      <c r="X133" s="2" t="s">
        <v>2573</v>
      </c>
      <c r="Y133" s="2" t="s">
        <v>2574</v>
      </c>
      <c r="Z133" s="2" t="s">
        <v>2575</v>
      </c>
      <c r="AA133" s="2"/>
      <c r="AB133" s="2"/>
      <c r="AC133" s="2" t="s">
        <v>2576</v>
      </c>
      <c r="AD133" s="2" t="s">
        <v>702</v>
      </c>
      <c r="AE133" s="2" t="s">
        <v>58</v>
      </c>
      <c r="AF133" s="2"/>
      <c r="AG133" s="3" t="str">
        <f aca="false">IF(A133="","",IF(COUNTA(O133:R133)&lt;4,"Needs 4 options",IF(ISERROR(FIND(UPPER(S133),"ABCD"))+(LEN(S133)&lt;&gt;1),"Answer must be A-D",IF(OR(D133&lt;1,D133&gt;3),"Difficulty must be 1-3",IF(OR(N133="",T133=""),"Missing question or explanation",IF(COUNTBLANK(U133:X133)&lt;&gt;1,"Need 3 why-not texts",IF(INDEX(U133:X133,1,FIND(UPPER(S133),"ABCD"))&lt;&gt;"","Why-not filled for the answer",IF(AND(B133&lt;&gt;"live",B133&lt;&gt;"draft",B133&lt;&gt;"retired"),"Status must be live/draft/retired","OK"))))))))</f>
        <v>OK</v>
      </c>
    </row>
    <row r="134" customFormat="false" ht="46.25" hidden="false" customHeight="false" outlineLevel="0" collapsed="false">
      <c r="A134" s="2" t="s">
        <v>2577</v>
      </c>
      <c r="B134" s="2" t="s">
        <v>34</v>
      </c>
      <c r="C134" s="2" t="s">
        <v>202</v>
      </c>
      <c r="D134" s="2" t="n">
        <v>1</v>
      </c>
      <c r="E134" s="2" t="s">
        <v>2578</v>
      </c>
      <c r="F134" s="2" t="s">
        <v>223</v>
      </c>
      <c r="G134" s="2" t="s">
        <v>264</v>
      </c>
      <c r="H134" s="2" t="s">
        <v>2579</v>
      </c>
      <c r="I134" s="2" t="s">
        <v>2580</v>
      </c>
      <c r="J134" s="2" t="s">
        <v>2581</v>
      </c>
      <c r="K134" s="2" t="s">
        <v>2582</v>
      </c>
      <c r="L134" s="2" t="s">
        <v>549</v>
      </c>
      <c r="M134" s="2" t="s">
        <v>2583</v>
      </c>
      <c r="N134" s="2" t="s">
        <v>1100</v>
      </c>
      <c r="O134" s="2" t="s">
        <v>2584</v>
      </c>
      <c r="P134" s="2" t="s">
        <v>1102</v>
      </c>
      <c r="Q134" s="2" t="s">
        <v>2585</v>
      </c>
      <c r="R134" s="2" t="s">
        <v>2586</v>
      </c>
      <c r="S134" s="2" t="s">
        <v>50</v>
      </c>
      <c r="T134" s="2" t="s">
        <v>2587</v>
      </c>
      <c r="U134" s="2" t="s">
        <v>2588</v>
      </c>
      <c r="V134" s="2"/>
      <c r="W134" s="2" t="s">
        <v>2589</v>
      </c>
      <c r="X134" s="2" t="s">
        <v>2590</v>
      </c>
      <c r="Y134" s="2" t="s">
        <v>2591</v>
      </c>
      <c r="Z134" s="2" t="s">
        <v>2592</v>
      </c>
      <c r="AA134" s="2"/>
      <c r="AB134" s="2"/>
      <c r="AC134" s="2" t="s">
        <v>2593</v>
      </c>
      <c r="AD134" s="2"/>
      <c r="AE134" s="2" t="s">
        <v>58</v>
      </c>
      <c r="AF134" s="2"/>
      <c r="AG134" s="3" t="str">
        <f aca="false">IF(A134="","",IF(COUNTA(O134:R134)&lt;4,"Needs 4 options",IF(ISERROR(FIND(UPPER(S134),"ABCD"))+(LEN(S134)&lt;&gt;1),"Answer must be A-D",IF(OR(D134&lt;1,D134&gt;3),"Difficulty must be 1-3",IF(OR(N134="",T134=""),"Missing question or explanation",IF(COUNTBLANK(U134:X134)&lt;&gt;1,"Need 3 why-not texts",IF(INDEX(U134:X134,1,FIND(UPPER(S134),"ABCD"))&lt;&gt;"","Why-not filled for the answer",IF(AND(B134&lt;&gt;"live",B134&lt;&gt;"draft",B134&lt;&gt;"retired"),"Status must be live/draft/retired","OK"))))))))</f>
        <v>OK</v>
      </c>
    </row>
    <row r="135" customFormat="false" ht="79.85" hidden="false" customHeight="false" outlineLevel="0" collapsed="false">
      <c r="A135" s="2" t="s">
        <v>2594</v>
      </c>
      <c r="B135" s="2" t="s">
        <v>34</v>
      </c>
      <c r="C135" s="2" t="s">
        <v>202</v>
      </c>
      <c r="D135" s="2" t="n">
        <v>2</v>
      </c>
      <c r="E135" s="2" t="s">
        <v>2595</v>
      </c>
      <c r="F135" s="2" t="s">
        <v>223</v>
      </c>
      <c r="G135" s="2" t="s">
        <v>1981</v>
      </c>
      <c r="H135" s="2" t="s">
        <v>2596</v>
      </c>
      <c r="I135" s="2" t="s">
        <v>2597</v>
      </c>
      <c r="J135" s="2" t="s">
        <v>549</v>
      </c>
      <c r="K135" s="2" t="s">
        <v>2598</v>
      </c>
      <c r="L135" s="2" t="s">
        <v>937</v>
      </c>
      <c r="M135" s="2" t="s">
        <v>2599</v>
      </c>
      <c r="N135" s="2" t="s">
        <v>2600</v>
      </c>
      <c r="O135" s="2" t="s">
        <v>2601</v>
      </c>
      <c r="P135" s="2" t="s">
        <v>2602</v>
      </c>
      <c r="Q135" s="2" t="s">
        <v>2603</v>
      </c>
      <c r="R135" s="2" t="s">
        <v>2604</v>
      </c>
      <c r="S135" s="2" t="s">
        <v>50</v>
      </c>
      <c r="T135" s="2" t="s">
        <v>2605</v>
      </c>
      <c r="U135" s="2" t="s">
        <v>2606</v>
      </c>
      <c r="V135" s="2"/>
      <c r="W135" s="2" t="s">
        <v>2607</v>
      </c>
      <c r="X135" s="2" t="s">
        <v>2608</v>
      </c>
      <c r="Y135" s="2" t="s">
        <v>2609</v>
      </c>
      <c r="Z135" s="2" t="s">
        <v>2610</v>
      </c>
      <c r="AA135" s="2"/>
      <c r="AB135" s="2"/>
      <c r="AC135" s="2" t="s">
        <v>2611</v>
      </c>
      <c r="AD135" s="2"/>
      <c r="AE135" s="2" t="s">
        <v>58</v>
      </c>
      <c r="AF135" s="2"/>
      <c r="AG135" s="3" t="str">
        <f aca="false">IF(A135="","",IF(COUNTA(O135:R135)&lt;4,"Needs 4 options",IF(ISERROR(FIND(UPPER(S135),"ABCD"))+(LEN(S135)&lt;&gt;1),"Answer must be A-D",IF(OR(D135&lt;1,D135&gt;3),"Difficulty must be 1-3",IF(OR(N135="",T135=""),"Missing question or explanation",IF(COUNTBLANK(U135:X135)&lt;&gt;1,"Need 3 why-not texts",IF(INDEX(U135:X135,1,FIND(UPPER(S135),"ABCD"))&lt;&gt;"","Why-not filled for the answer",IF(AND(B135&lt;&gt;"live",B135&lt;&gt;"draft",B135&lt;&gt;"retired"),"Status must be live/draft/retired","OK"))))))))</f>
        <v>OK</v>
      </c>
    </row>
    <row r="136" customFormat="false" ht="46.25" hidden="false" customHeight="false" outlineLevel="0" collapsed="false">
      <c r="A136" s="2" t="s">
        <v>2612</v>
      </c>
      <c r="B136" s="2" t="s">
        <v>34</v>
      </c>
      <c r="C136" s="2" t="s">
        <v>202</v>
      </c>
      <c r="D136" s="2" t="n">
        <v>2</v>
      </c>
      <c r="E136" s="2" t="s">
        <v>2613</v>
      </c>
      <c r="F136" s="2" t="s">
        <v>223</v>
      </c>
      <c r="G136" s="2" t="s">
        <v>2614</v>
      </c>
      <c r="H136" s="2" t="s">
        <v>2615</v>
      </c>
      <c r="I136" s="2" t="s">
        <v>2616</v>
      </c>
      <c r="J136" s="2" t="s">
        <v>1115</v>
      </c>
      <c r="K136" s="2" t="s">
        <v>2617</v>
      </c>
      <c r="L136" s="2" t="s">
        <v>549</v>
      </c>
      <c r="M136" s="2" t="s">
        <v>2618</v>
      </c>
      <c r="N136" s="2" t="s">
        <v>2619</v>
      </c>
      <c r="O136" s="2" t="s">
        <v>2620</v>
      </c>
      <c r="P136" s="2" t="s">
        <v>2621</v>
      </c>
      <c r="Q136" s="2" t="s">
        <v>2622</v>
      </c>
      <c r="R136" s="2" t="s">
        <v>2623</v>
      </c>
      <c r="S136" s="2" t="s">
        <v>50</v>
      </c>
      <c r="T136" s="2" t="s">
        <v>2624</v>
      </c>
      <c r="U136" s="2" t="s">
        <v>2625</v>
      </c>
      <c r="V136" s="2"/>
      <c r="W136" s="2" t="s">
        <v>2626</v>
      </c>
      <c r="X136" s="2" t="s">
        <v>2627</v>
      </c>
      <c r="Y136" s="2" t="s">
        <v>2628</v>
      </c>
      <c r="Z136" s="2" t="s">
        <v>2629</v>
      </c>
      <c r="AA136" s="2"/>
      <c r="AB136" s="2"/>
      <c r="AC136" s="2" t="s">
        <v>2630</v>
      </c>
      <c r="AD136" s="2"/>
      <c r="AE136" s="2" t="s">
        <v>58</v>
      </c>
      <c r="AF136" s="2"/>
      <c r="AG136" s="3" t="str">
        <f aca="false">IF(A136="","",IF(COUNTA(O136:R136)&lt;4,"Needs 4 options",IF(ISERROR(FIND(UPPER(S136),"ABCD"))+(LEN(S136)&lt;&gt;1),"Answer must be A-D",IF(OR(D136&lt;1,D136&gt;3),"Difficulty must be 1-3",IF(OR(N136="",T136=""),"Missing question or explanation",IF(COUNTBLANK(U136:X136)&lt;&gt;1,"Need 3 why-not texts",IF(INDEX(U136:X136,1,FIND(UPPER(S136),"ABCD"))&lt;&gt;"","Why-not filled for the answer",IF(AND(B136&lt;&gt;"live",B136&lt;&gt;"draft",B136&lt;&gt;"retired"),"Status must be live/draft/retired","OK"))))))))</f>
        <v>OK</v>
      </c>
    </row>
    <row r="137" customFormat="false" ht="35.05" hidden="false" customHeight="false" outlineLevel="0" collapsed="false">
      <c r="A137" s="2" t="s">
        <v>2631</v>
      </c>
      <c r="B137" s="2" t="s">
        <v>34</v>
      </c>
      <c r="C137" s="2" t="s">
        <v>202</v>
      </c>
      <c r="D137" s="2" t="n">
        <v>1</v>
      </c>
      <c r="E137" s="2" t="s">
        <v>2632</v>
      </c>
      <c r="F137" s="2" t="s">
        <v>223</v>
      </c>
      <c r="G137" s="2" t="s">
        <v>264</v>
      </c>
      <c r="H137" s="2" t="s">
        <v>160</v>
      </c>
      <c r="I137" s="2" t="s">
        <v>2633</v>
      </c>
      <c r="J137" s="2" t="s">
        <v>2634</v>
      </c>
      <c r="K137" s="2" t="s">
        <v>2635</v>
      </c>
      <c r="L137" s="2" t="s">
        <v>549</v>
      </c>
      <c r="M137" s="2" t="s">
        <v>2636</v>
      </c>
      <c r="N137" s="2" t="s">
        <v>2488</v>
      </c>
      <c r="O137" s="2" t="s">
        <v>2637</v>
      </c>
      <c r="P137" s="2" t="s">
        <v>2638</v>
      </c>
      <c r="Q137" s="2" t="s">
        <v>2639</v>
      </c>
      <c r="R137" s="2" t="s">
        <v>2640</v>
      </c>
      <c r="S137" s="2" t="s">
        <v>50</v>
      </c>
      <c r="T137" s="2" t="s">
        <v>2641</v>
      </c>
      <c r="U137" s="2" t="s">
        <v>2642</v>
      </c>
      <c r="V137" s="2"/>
      <c r="W137" s="2" t="s">
        <v>2643</v>
      </c>
      <c r="X137" s="2" t="s">
        <v>2644</v>
      </c>
      <c r="Y137" s="2" t="s">
        <v>2645</v>
      </c>
      <c r="Z137" s="2" t="s">
        <v>2646</v>
      </c>
      <c r="AA137" s="2"/>
      <c r="AB137" s="2"/>
      <c r="AC137" s="2" t="s">
        <v>2647</v>
      </c>
      <c r="AD137" s="2"/>
      <c r="AE137" s="2" t="s">
        <v>58</v>
      </c>
      <c r="AF137" s="2"/>
      <c r="AG137" s="3" t="str">
        <f aca="false">IF(A137="","",IF(COUNTA(O137:R137)&lt;4,"Needs 4 options",IF(ISERROR(FIND(UPPER(S137),"ABCD"))+(LEN(S137)&lt;&gt;1),"Answer must be A-D",IF(OR(D137&lt;1,D137&gt;3),"Difficulty must be 1-3",IF(OR(N137="",T137=""),"Missing question or explanation",IF(COUNTBLANK(U137:X137)&lt;&gt;1,"Need 3 why-not texts",IF(INDEX(U137:X137,1,FIND(UPPER(S137),"ABCD"))&lt;&gt;"","Why-not filled for the answer",IF(AND(B137&lt;&gt;"live",B137&lt;&gt;"draft",B137&lt;&gt;"retired"),"Status must be live/draft/retired","OK"))))))))</f>
        <v>OK</v>
      </c>
    </row>
    <row r="138" customFormat="false" ht="23.85" hidden="false" customHeight="false" outlineLevel="0" collapsed="false">
      <c r="A138" s="2" t="s">
        <v>2648</v>
      </c>
      <c r="B138" s="2" t="s">
        <v>34</v>
      </c>
      <c r="C138" s="2" t="s">
        <v>202</v>
      </c>
      <c r="D138" s="2" t="n">
        <v>2</v>
      </c>
      <c r="E138" s="2" t="s">
        <v>2649</v>
      </c>
      <c r="F138" s="2" t="s">
        <v>2650</v>
      </c>
      <c r="G138" s="2" t="s">
        <v>2651</v>
      </c>
      <c r="H138" s="2" t="s">
        <v>2652</v>
      </c>
      <c r="I138" s="2" t="s">
        <v>2653</v>
      </c>
      <c r="J138" s="2" t="s">
        <v>2654</v>
      </c>
      <c r="K138" s="2" t="s">
        <v>2655</v>
      </c>
      <c r="L138" s="2" t="s">
        <v>549</v>
      </c>
      <c r="M138" s="2" t="s">
        <v>2656</v>
      </c>
      <c r="N138" s="2" t="s">
        <v>2657</v>
      </c>
      <c r="O138" s="2" t="s">
        <v>2658</v>
      </c>
      <c r="P138" s="2" t="s">
        <v>2659</v>
      </c>
      <c r="Q138" s="2" t="s">
        <v>2660</v>
      </c>
      <c r="R138" s="2" t="s">
        <v>2661</v>
      </c>
      <c r="S138" s="2" t="s">
        <v>50</v>
      </c>
      <c r="T138" s="2" t="s">
        <v>2662</v>
      </c>
      <c r="U138" s="2" t="s">
        <v>2663</v>
      </c>
      <c r="V138" s="2"/>
      <c r="W138" s="2" t="s">
        <v>2664</v>
      </c>
      <c r="X138" s="2" t="s">
        <v>2665</v>
      </c>
      <c r="Y138" s="2" t="s">
        <v>2666</v>
      </c>
      <c r="Z138" s="2" t="s">
        <v>2667</v>
      </c>
      <c r="AA138" s="2"/>
      <c r="AB138" s="2"/>
      <c r="AC138" s="2" t="s">
        <v>2668</v>
      </c>
      <c r="AD138" s="2"/>
      <c r="AE138" s="2" t="s">
        <v>58</v>
      </c>
      <c r="AF138" s="2"/>
      <c r="AG138" s="3" t="str">
        <f aca="false">IF(A138="","",IF(COUNTA(O138:R138)&lt;4,"Needs 4 options",IF(ISERROR(FIND(UPPER(S138),"ABCD"))+(LEN(S138)&lt;&gt;1),"Answer must be A-D",IF(OR(D138&lt;1,D138&gt;3),"Difficulty must be 1-3",IF(OR(N138="",T138=""),"Missing question or explanation",IF(COUNTBLANK(U138:X138)&lt;&gt;1,"Need 3 why-not texts",IF(INDEX(U138:X138,1,FIND(UPPER(S138),"ABCD"))&lt;&gt;"","Why-not filled for the answer",IF(AND(B138&lt;&gt;"live",B138&lt;&gt;"draft",B138&lt;&gt;"retired"),"Status must be live/draft/retired","OK"))))))))</f>
        <v>OK</v>
      </c>
    </row>
    <row r="139" customFormat="false" ht="79.85" hidden="false" customHeight="false" outlineLevel="0" collapsed="false">
      <c r="A139" s="2" t="s">
        <v>2669</v>
      </c>
      <c r="B139" s="2" t="s">
        <v>34</v>
      </c>
      <c r="C139" s="2" t="s">
        <v>202</v>
      </c>
      <c r="D139" s="2" t="n">
        <v>2</v>
      </c>
      <c r="E139" s="2" t="s">
        <v>2670</v>
      </c>
      <c r="F139" s="2" t="s">
        <v>223</v>
      </c>
      <c r="G139" s="2" t="s">
        <v>323</v>
      </c>
      <c r="H139" s="2" t="s">
        <v>2671</v>
      </c>
      <c r="I139" s="2" t="s">
        <v>2672</v>
      </c>
      <c r="J139" s="2" t="s">
        <v>2673</v>
      </c>
      <c r="K139" s="2" t="s">
        <v>2674</v>
      </c>
      <c r="L139" s="2" t="s">
        <v>549</v>
      </c>
      <c r="M139" s="2" t="s">
        <v>2675</v>
      </c>
      <c r="N139" s="2" t="s">
        <v>2676</v>
      </c>
      <c r="O139" s="2" t="s">
        <v>2677</v>
      </c>
      <c r="P139" s="2" t="s">
        <v>2678</v>
      </c>
      <c r="Q139" s="2" t="s">
        <v>2679</v>
      </c>
      <c r="R139" s="2" t="s">
        <v>2680</v>
      </c>
      <c r="S139" s="2" t="s">
        <v>2194</v>
      </c>
      <c r="T139" s="2" t="s">
        <v>2681</v>
      </c>
      <c r="U139" s="2" t="s">
        <v>2682</v>
      </c>
      <c r="V139" s="2" t="s">
        <v>2683</v>
      </c>
      <c r="W139" s="2" t="s">
        <v>2684</v>
      </c>
      <c r="X139" s="2"/>
      <c r="Y139" s="2" t="s">
        <v>2685</v>
      </c>
      <c r="Z139" s="2" t="s">
        <v>2686</v>
      </c>
      <c r="AA139" s="2"/>
      <c r="AB139" s="2"/>
      <c r="AC139" s="2" t="s">
        <v>2687</v>
      </c>
      <c r="AD139" s="2"/>
      <c r="AE139" s="2" t="s">
        <v>58</v>
      </c>
      <c r="AF139" s="2"/>
      <c r="AG139" s="3" t="str">
        <f aca="false">IF(A139="","",IF(COUNTA(O139:R139)&lt;4,"Needs 4 options",IF(ISERROR(FIND(UPPER(S139),"ABCD"))+(LEN(S139)&lt;&gt;1),"Answer must be A-D",IF(OR(D139&lt;1,D139&gt;3),"Difficulty must be 1-3",IF(OR(N139="",T139=""),"Missing question or explanation",IF(COUNTBLANK(U139:X139)&lt;&gt;1,"Need 3 why-not texts",IF(INDEX(U139:X139,1,FIND(UPPER(S139),"ABCD"))&lt;&gt;"","Why-not filled for the answer",IF(AND(B139&lt;&gt;"live",B139&lt;&gt;"draft",B139&lt;&gt;"retired"),"Status must be live/draft/retired","OK"))))))))</f>
        <v>OK</v>
      </c>
    </row>
    <row r="140" customFormat="false" ht="46.25" hidden="false" customHeight="false" outlineLevel="0" collapsed="false">
      <c r="A140" s="2" t="s">
        <v>2688</v>
      </c>
      <c r="B140" s="2" t="s">
        <v>34</v>
      </c>
      <c r="C140" s="2" t="s">
        <v>202</v>
      </c>
      <c r="D140" s="2" t="n">
        <v>2</v>
      </c>
      <c r="E140" s="2" t="s">
        <v>2689</v>
      </c>
      <c r="F140" s="2" t="s">
        <v>223</v>
      </c>
      <c r="G140" s="2" t="s">
        <v>264</v>
      </c>
      <c r="H140" s="2" t="s">
        <v>160</v>
      </c>
      <c r="I140" s="2" t="s">
        <v>2690</v>
      </c>
      <c r="J140" s="2" t="s">
        <v>1457</v>
      </c>
      <c r="K140" s="2" t="s">
        <v>2691</v>
      </c>
      <c r="L140" s="2" t="s">
        <v>549</v>
      </c>
      <c r="M140" s="2" t="s">
        <v>2692</v>
      </c>
      <c r="N140" s="2" t="s">
        <v>1100</v>
      </c>
      <c r="O140" s="2" t="s">
        <v>2584</v>
      </c>
      <c r="P140" s="2" t="s">
        <v>1102</v>
      </c>
      <c r="Q140" s="2" t="s">
        <v>2693</v>
      </c>
      <c r="R140" s="2" t="s">
        <v>2694</v>
      </c>
      <c r="S140" s="2" t="s">
        <v>50</v>
      </c>
      <c r="T140" s="2" t="s">
        <v>2695</v>
      </c>
      <c r="U140" s="2" t="s">
        <v>2696</v>
      </c>
      <c r="V140" s="2"/>
      <c r="W140" s="2" t="s">
        <v>2697</v>
      </c>
      <c r="X140" s="2" t="s">
        <v>2589</v>
      </c>
      <c r="Y140" s="2" t="s">
        <v>2698</v>
      </c>
      <c r="Z140" s="2" t="s">
        <v>2699</v>
      </c>
      <c r="AA140" s="2"/>
      <c r="AB140" s="2"/>
      <c r="AC140" s="2" t="s">
        <v>2700</v>
      </c>
      <c r="AD140" s="2"/>
      <c r="AE140" s="2" t="s">
        <v>58</v>
      </c>
      <c r="AF140" s="2"/>
      <c r="AG140" s="3" t="str">
        <f aca="false">IF(A140="","",IF(COUNTA(O140:R140)&lt;4,"Needs 4 options",IF(ISERROR(FIND(UPPER(S140),"ABCD"))+(LEN(S140)&lt;&gt;1),"Answer must be A-D",IF(OR(D140&lt;1,D140&gt;3),"Difficulty must be 1-3",IF(OR(N140="",T140=""),"Missing question or explanation",IF(COUNTBLANK(U140:X140)&lt;&gt;1,"Need 3 why-not texts",IF(INDEX(U140:X140,1,FIND(UPPER(S140),"ABCD"))&lt;&gt;"","Why-not filled for the answer",IF(AND(B140&lt;&gt;"live",B140&lt;&gt;"draft",B140&lt;&gt;"retired"),"Status must be live/draft/retired","OK"))))))))</f>
        <v>OK</v>
      </c>
    </row>
    <row r="141" customFormat="false" ht="57.45" hidden="false" customHeight="false" outlineLevel="0" collapsed="false">
      <c r="A141" s="2" t="s">
        <v>2701</v>
      </c>
      <c r="B141" s="2" t="s">
        <v>34</v>
      </c>
      <c r="C141" s="2" t="s">
        <v>202</v>
      </c>
      <c r="D141" s="2" t="n">
        <v>3</v>
      </c>
      <c r="E141" s="2" t="s">
        <v>2702</v>
      </c>
      <c r="F141" s="2" t="s">
        <v>223</v>
      </c>
      <c r="G141" s="2" t="s">
        <v>2703</v>
      </c>
      <c r="H141" s="2" t="s">
        <v>160</v>
      </c>
      <c r="I141" s="2" t="s">
        <v>2704</v>
      </c>
      <c r="J141" s="2" t="s">
        <v>384</v>
      </c>
      <c r="K141" s="2" t="s">
        <v>2705</v>
      </c>
      <c r="L141" s="2" t="s">
        <v>549</v>
      </c>
      <c r="M141" s="2" t="s">
        <v>2706</v>
      </c>
      <c r="N141" s="2" t="s">
        <v>2707</v>
      </c>
      <c r="O141" s="2" t="s">
        <v>2708</v>
      </c>
      <c r="P141" s="2" t="s">
        <v>2709</v>
      </c>
      <c r="Q141" s="2" t="s">
        <v>2710</v>
      </c>
      <c r="R141" s="2" t="s">
        <v>2711</v>
      </c>
      <c r="S141" s="2" t="s">
        <v>50</v>
      </c>
      <c r="T141" s="2" t="s">
        <v>2712</v>
      </c>
      <c r="U141" s="2" t="s">
        <v>2713</v>
      </c>
      <c r="V141" s="2"/>
      <c r="W141" s="2" t="s">
        <v>2714</v>
      </c>
      <c r="X141" s="2" t="s">
        <v>2715</v>
      </c>
      <c r="Y141" s="2" t="s">
        <v>2716</v>
      </c>
      <c r="Z141" s="2" t="s">
        <v>2717</v>
      </c>
      <c r="AA141" s="2"/>
      <c r="AB141" s="2"/>
      <c r="AC141" s="2" t="s">
        <v>2718</v>
      </c>
      <c r="AD141" s="2"/>
      <c r="AE141" s="2" t="s">
        <v>58</v>
      </c>
      <c r="AF141" s="2"/>
      <c r="AG141" s="3" t="str">
        <f aca="false">IF(A141="","",IF(COUNTA(O141:R141)&lt;4,"Needs 4 options",IF(ISERROR(FIND(UPPER(S141),"ABCD"))+(LEN(S141)&lt;&gt;1),"Answer must be A-D",IF(OR(D141&lt;1,D141&gt;3),"Difficulty must be 1-3",IF(OR(N141="",T141=""),"Missing question or explanation",IF(COUNTBLANK(U141:X141)&lt;&gt;1,"Need 3 why-not texts",IF(INDEX(U141:X141,1,FIND(UPPER(S141),"ABCD"))&lt;&gt;"","Why-not filled for the answer",IF(AND(B141&lt;&gt;"live",B141&lt;&gt;"draft",B141&lt;&gt;"retired"),"Status must be live/draft/retired","OK"))))))))</f>
        <v>OK</v>
      </c>
    </row>
    <row r="142" customFormat="false" ht="23.85" hidden="false" customHeight="false" outlineLevel="0" collapsed="false">
      <c r="A142" s="2" t="s">
        <v>2719</v>
      </c>
      <c r="B142" s="2" t="s">
        <v>34</v>
      </c>
      <c r="C142" s="2" t="s">
        <v>202</v>
      </c>
      <c r="D142" s="2" t="n">
        <v>1</v>
      </c>
      <c r="E142" s="2" t="s">
        <v>2720</v>
      </c>
      <c r="F142" s="2" t="s">
        <v>223</v>
      </c>
      <c r="G142" s="2" t="s">
        <v>2721</v>
      </c>
      <c r="H142" s="2" t="s">
        <v>160</v>
      </c>
      <c r="I142" s="2" t="s">
        <v>2722</v>
      </c>
      <c r="J142" s="2" t="s">
        <v>549</v>
      </c>
      <c r="K142" s="2" t="s">
        <v>2723</v>
      </c>
      <c r="L142" s="2" t="s">
        <v>248</v>
      </c>
      <c r="M142" s="2" t="s">
        <v>2724</v>
      </c>
      <c r="N142" s="2" t="s">
        <v>1832</v>
      </c>
      <c r="O142" s="2" t="s">
        <v>1157</v>
      </c>
      <c r="P142" s="2" t="s">
        <v>2725</v>
      </c>
      <c r="Q142" s="2" t="s">
        <v>2726</v>
      </c>
      <c r="R142" s="2" t="s">
        <v>2727</v>
      </c>
      <c r="S142" s="2" t="s">
        <v>50</v>
      </c>
      <c r="T142" s="2" t="s">
        <v>2728</v>
      </c>
      <c r="U142" s="2" t="s">
        <v>2729</v>
      </c>
      <c r="V142" s="2"/>
      <c r="W142" s="2" t="s">
        <v>2730</v>
      </c>
      <c r="X142" s="2" t="s">
        <v>2731</v>
      </c>
      <c r="Y142" s="2" t="s">
        <v>2732</v>
      </c>
      <c r="Z142" s="2" t="s">
        <v>2733</v>
      </c>
      <c r="AA142" s="2"/>
      <c r="AB142" s="2"/>
      <c r="AC142" s="2" t="s">
        <v>2734</v>
      </c>
      <c r="AD142" s="2"/>
      <c r="AE142" s="2" t="s">
        <v>58</v>
      </c>
      <c r="AF142" s="2"/>
      <c r="AG142" s="3" t="str">
        <f aca="false">IF(A142="","",IF(COUNTA(O142:R142)&lt;4,"Needs 4 options",IF(ISERROR(FIND(UPPER(S142),"ABCD"))+(LEN(S142)&lt;&gt;1),"Answer must be A-D",IF(OR(D142&lt;1,D142&gt;3),"Difficulty must be 1-3",IF(OR(N142="",T142=""),"Missing question or explanation",IF(COUNTBLANK(U142:X142)&lt;&gt;1,"Need 3 why-not texts",IF(INDEX(U142:X142,1,FIND(UPPER(S142),"ABCD"))&lt;&gt;"","Why-not filled for the answer",IF(AND(B142&lt;&gt;"live",B142&lt;&gt;"draft",B142&lt;&gt;"retired"),"Status must be live/draft/retired","OK"))))))))</f>
        <v>OK</v>
      </c>
    </row>
    <row r="143" customFormat="false" ht="57.45" hidden="false" customHeight="false" outlineLevel="0" collapsed="false">
      <c r="A143" s="2" t="s">
        <v>2735</v>
      </c>
      <c r="B143" s="2" t="s">
        <v>34</v>
      </c>
      <c r="C143" s="2" t="s">
        <v>202</v>
      </c>
      <c r="D143" s="2" t="n">
        <v>2</v>
      </c>
      <c r="E143" s="2" t="s">
        <v>2736</v>
      </c>
      <c r="F143" s="2" t="s">
        <v>223</v>
      </c>
      <c r="G143" s="2" t="s">
        <v>323</v>
      </c>
      <c r="H143" s="2" t="s">
        <v>2737</v>
      </c>
      <c r="I143" s="2" t="s">
        <v>2738</v>
      </c>
      <c r="J143" s="2" t="s">
        <v>2739</v>
      </c>
      <c r="K143" s="2" t="s">
        <v>2740</v>
      </c>
      <c r="L143" s="2" t="s">
        <v>549</v>
      </c>
      <c r="M143" s="2" t="s">
        <v>2741</v>
      </c>
      <c r="N143" s="2" t="s">
        <v>2742</v>
      </c>
      <c r="O143" s="2" t="s">
        <v>2743</v>
      </c>
      <c r="P143" s="2" t="s">
        <v>2744</v>
      </c>
      <c r="Q143" s="2" t="s">
        <v>2745</v>
      </c>
      <c r="R143" s="2" t="s">
        <v>2746</v>
      </c>
      <c r="S143" s="2" t="s">
        <v>50</v>
      </c>
      <c r="T143" s="2" t="s">
        <v>2747</v>
      </c>
      <c r="U143" s="2" t="s">
        <v>2748</v>
      </c>
      <c r="V143" s="2"/>
      <c r="W143" s="2" t="s">
        <v>2749</v>
      </c>
      <c r="X143" s="2" t="s">
        <v>2750</v>
      </c>
      <c r="Y143" s="2" t="s">
        <v>2751</v>
      </c>
      <c r="Z143" s="2" t="s">
        <v>2752</v>
      </c>
      <c r="AA143" s="2"/>
      <c r="AB143" s="2"/>
      <c r="AC143" s="2" t="s">
        <v>2753</v>
      </c>
      <c r="AD143" s="2"/>
      <c r="AE143" s="2" t="s">
        <v>58</v>
      </c>
      <c r="AF143" s="2"/>
      <c r="AG143" s="3" t="str">
        <f aca="false">IF(A143="","",IF(COUNTA(O143:R143)&lt;4,"Needs 4 options",IF(ISERROR(FIND(UPPER(S143),"ABCD"))+(LEN(S143)&lt;&gt;1),"Answer must be A-D",IF(OR(D143&lt;1,D143&gt;3),"Difficulty must be 1-3",IF(OR(N143="",T143=""),"Missing question or explanation",IF(COUNTBLANK(U143:X143)&lt;&gt;1,"Need 3 why-not texts",IF(INDEX(U143:X143,1,FIND(UPPER(S143),"ABCD"))&lt;&gt;"","Why-not filled for the answer",IF(AND(B143&lt;&gt;"live",B143&lt;&gt;"draft",B143&lt;&gt;"retired"),"Status must be live/draft/retired","OK"))))))))</f>
        <v>OK</v>
      </c>
    </row>
    <row r="144" customFormat="false" ht="46.25" hidden="false" customHeight="false" outlineLevel="0" collapsed="false">
      <c r="A144" s="2" t="s">
        <v>2754</v>
      </c>
      <c r="B144" s="2" t="s">
        <v>34</v>
      </c>
      <c r="C144" s="2" t="s">
        <v>202</v>
      </c>
      <c r="D144" s="2" t="n">
        <v>2</v>
      </c>
      <c r="E144" s="2" t="s">
        <v>2755</v>
      </c>
      <c r="F144" s="2" t="s">
        <v>223</v>
      </c>
      <c r="G144" s="2" t="s">
        <v>264</v>
      </c>
      <c r="H144" s="2" t="s">
        <v>2756</v>
      </c>
      <c r="I144" s="2" t="s">
        <v>2757</v>
      </c>
      <c r="J144" s="2" t="s">
        <v>549</v>
      </c>
      <c r="K144" s="2" t="s">
        <v>2758</v>
      </c>
      <c r="L144" s="2" t="s">
        <v>2759</v>
      </c>
      <c r="M144" s="2" t="s">
        <v>2760</v>
      </c>
      <c r="N144" s="2" t="s">
        <v>2761</v>
      </c>
      <c r="O144" s="2" t="s">
        <v>2762</v>
      </c>
      <c r="P144" s="2" t="s">
        <v>2763</v>
      </c>
      <c r="Q144" s="2" t="s">
        <v>2764</v>
      </c>
      <c r="R144" s="2" t="s">
        <v>2765</v>
      </c>
      <c r="S144" s="2" t="s">
        <v>50</v>
      </c>
      <c r="T144" s="2" t="s">
        <v>2766</v>
      </c>
      <c r="U144" s="2" t="s">
        <v>2767</v>
      </c>
      <c r="V144" s="2"/>
      <c r="W144" s="2" t="s">
        <v>2768</v>
      </c>
      <c r="X144" s="2" t="s">
        <v>2769</v>
      </c>
      <c r="Y144" s="2" t="s">
        <v>2770</v>
      </c>
      <c r="Z144" s="2" t="s">
        <v>2771</v>
      </c>
      <c r="AA144" s="2"/>
      <c r="AB144" s="2"/>
      <c r="AC144" s="2" t="s">
        <v>2772</v>
      </c>
      <c r="AD144" s="2"/>
      <c r="AE144" s="2" t="s">
        <v>58</v>
      </c>
      <c r="AF144" s="2"/>
      <c r="AG144" s="3" t="str">
        <f aca="false">IF(A144="","",IF(COUNTA(O144:R144)&lt;4,"Needs 4 options",IF(ISERROR(FIND(UPPER(S144),"ABCD"))+(LEN(S144)&lt;&gt;1),"Answer must be A-D",IF(OR(D144&lt;1,D144&gt;3),"Difficulty must be 1-3",IF(OR(N144="",T144=""),"Missing question or explanation",IF(COUNTBLANK(U144:X144)&lt;&gt;1,"Need 3 why-not texts",IF(INDEX(U144:X144,1,FIND(UPPER(S144),"ABCD"))&lt;&gt;"","Why-not filled for the answer",IF(AND(B144&lt;&gt;"live",B144&lt;&gt;"draft",B144&lt;&gt;"retired"),"Status must be live/draft/retired","OK"))))))))</f>
        <v>OK</v>
      </c>
    </row>
    <row r="145" customFormat="false" ht="23.85" hidden="false" customHeight="false" outlineLevel="0" collapsed="false">
      <c r="A145" s="2" t="s">
        <v>2773</v>
      </c>
      <c r="B145" s="2" t="s">
        <v>34</v>
      </c>
      <c r="C145" s="2" t="s">
        <v>1228</v>
      </c>
      <c r="D145" s="2" t="n">
        <v>1</v>
      </c>
      <c r="E145" s="2" t="s">
        <v>2774</v>
      </c>
      <c r="F145" s="2" t="s">
        <v>847</v>
      </c>
      <c r="G145" s="2" t="s">
        <v>2775</v>
      </c>
      <c r="H145" s="2" t="s">
        <v>2776</v>
      </c>
      <c r="I145" s="2" t="s">
        <v>2777</v>
      </c>
      <c r="J145" s="2" t="s">
        <v>2000</v>
      </c>
      <c r="K145" s="2" t="s">
        <v>2262</v>
      </c>
      <c r="L145" s="2" t="s">
        <v>549</v>
      </c>
      <c r="M145" s="2" t="s">
        <v>1291</v>
      </c>
      <c r="N145" s="2" t="s">
        <v>2778</v>
      </c>
      <c r="O145" s="2" t="s">
        <v>2779</v>
      </c>
      <c r="P145" s="2" t="s">
        <v>2780</v>
      </c>
      <c r="Q145" s="2" t="s">
        <v>2781</v>
      </c>
      <c r="R145" s="2" t="s">
        <v>2782</v>
      </c>
      <c r="S145" s="2" t="s">
        <v>50</v>
      </c>
      <c r="T145" s="2" t="s">
        <v>2783</v>
      </c>
      <c r="U145" s="2" t="s">
        <v>2784</v>
      </c>
      <c r="V145" s="2"/>
      <c r="W145" s="2" t="s">
        <v>2785</v>
      </c>
      <c r="X145" s="2" t="s">
        <v>2786</v>
      </c>
      <c r="Y145" s="2" t="s">
        <v>2787</v>
      </c>
      <c r="Z145" s="2" t="s">
        <v>2788</v>
      </c>
      <c r="AA145" s="2"/>
      <c r="AB145" s="2"/>
      <c r="AC145" s="2" t="s">
        <v>2789</v>
      </c>
      <c r="AD145" s="2"/>
      <c r="AE145" s="2" t="s">
        <v>58</v>
      </c>
      <c r="AF145" s="2"/>
      <c r="AG145" s="3" t="str">
        <f aca="false">IF(A145="","",IF(COUNTA(O145:R145)&lt;4,"Needs 4 options",IF(ISERROR(FIND(UPPER(S145),"ABCD"))+(LEN(S145)&lt;&gt;1),"Answer must be A-D",IF(OR(D145&lt;1,D145&gt;3),"Difficulty must be 1-3",IF(OR(N145="",T145=""),"Missing question or explanation",IF(COUNTBLANK(U145:X145)&lt;&gt;1,"Need 3 why-not texts",IF(INDEX(U145:X145,1,FIND(UPPER(S145),"ABCD"))&lt;&gt;"","Why-not filled for the answer",IF(AND(B145&lt;&gt;"live",B145&lt;&gt;"draft",B145&lt;&gt;"retired"),"Status must be live/draft/retired","OK"))))))))</f>
        <v>OK</v>
      </c>
    </row>
    <row r="146" customFormat="false" ht="46.25" hidden="false" customHeight="false" outlineLevel="0" collapsed="false">
      <c r="A146" s="2" t="s">
        <v>2790</v>
      </c>
      <c r="B146" s="2" t="s">
        <v>34</v>
      </c>
      <c r="C146" s="2" t="s">
        <v>1228</v>
      </c>
      <c r="D146" s="2" t="n">
        <v>2</v>
      </c>
      <c r="E146" s="2" t="s">
        <v>2791</v>
      </c>
      <c r="F146" s="2" t="s">
        <v>937</v>
      </c>
      <c r="G146" s="2" t="s">
        <v>2792</v>
      </c>
      <c r="H146" s="2" t="s">
        <v>363</v>
      </c>
      <c r="I146" s="2" t="s">
        <v>2793</v>
      </c>
      <c r="J146" s="2" t="s">
        <v>2522</v>
      </c>
      <c r="K146" s="2" t="s">
        <v>2794</v>
      </c>
      <c r="L146" s="2" t="s">
        <v>549</v>
      </c>
      <c r="M146" s="2" t="s">
        <v>2277</v>
      </c>
      <c r="N146" s="2" t="s">
        <v>2619</v>
      </c>
      <c r="O146" s="2" t="s">
        <v>2795</v>
      </c>
      <c r="P146" s="2" t="s">
        <v>2796</v>
      </c>
      <c r="Q146" s="2" t="s">
        <v>989</v>
      </c>
      <c r="R146" s="2" t="s">
        <v>2797</v>
      </c>
      <c r="S146" s="2" t="s">
        <v>50</v>
      </c>
      <c r="T146" s="2" t="s">
        <v>2798</v>
      </c>
      <c r="U146" s="2" t="s">
        <v>2799</v>
      </c>
      <c r="V146" s="2"/>
      <c r="W146" s="2" t="s">
        <v>2800</v>
      </c>
      <c r="X146" s="2" t="s">
        <v>2801</v>
      </c>
      <c r="Y146" s="2" t="s">
        <v>2802</v>
      </c>
      <c r="Z146" s="2" t="s">
        <v>2803</v>
      </c>
      <c r="AA146" s="2"/>
      <c r="AB146" s="2"/>
      <c r="AC146" s="2" t="s">
        <v>2804</v>
      </c>
      <c r="AD146" s="2"/>
      <c r="AE146" s="2" t="s">
        <v>58</v>
      </c>
      <c r="AF146" s="2"/>
      <c r="AG146" s="3" t="str">
        <f aca="false">IF(A146="","",IF(COUNTA(O146:R146)&lt;4,"Needs 4 options",IF(ISERROR(FIND(UPPER(S146),"ABCD"))+(LEN(S146)&lt;&gt;1),"Answer must be A-D",IF(OR(D146&lt;1,D146&gt;3),"Difficulty must be 1-3",IF(OR(N146="",T146=""),"Missing question or explanation",IF(COUNTBLANK(U146:X146)&lt;&gt;1,"Need 3 why-not texts",IF(INDEX(U146:X146,1,FIND(UPPER(S146),"ABCD"))&lt;&gt;"","Why-not filled for the answer",IF(AND(B146&lt;&gt;"live",B146&lt;&gt;"draft",B146&lt;&gt;"retired"),"Status must be live/draft/retired","OK"))))))))</f>
        <v>OK</v>
      </c>
    </row>
    <row r="147" customFormat="false" ht="46.25" hidden="false" customHeight="false" outlineLevel="0" collapsed="false">
      <c r="A147" s="2" t="s">
        <v>2805</v>
      </c>
      <c r="B147" s="2" t="s">
        <v>34</v>
      </c>
      <c r="C147" s="2" t="s">
        <v>1228</v>
      </c>
      <c r="D147" s="2" t="n">
        <v>2</v>
      </c>
      <c r="E147" s="2" t="s">
        <v>2806</v>
      </c>
      <c r="F147" s="2" t="s">
        <v>937</v>
      </c>
      <c r="G147" s="2" t="s">
        <v>2807</v>
      </c>
      <c r="H147" s="2" t="s">
        <v>1266</v>
      </c>
      <c r="I147" s="2" t="s">
        <v>2808</v>
      </c>
      <c r="J147" s="2" t="s">
        <v>549</v>
      </c>
      <c r="K147" s="2" t="s">
        <v>2809</v>
      </c>
      <c r="L147" s="2" t="s">
        <v>1345</v>
      </c>
      <c r="M147" s="2" t="s">
        <v>2810</v>
      </c>
      <c r="N147" s="2" t="s">
        <v>2811</v>
      </c>
      <c r="O147" s="2" t="s">
        <v>2812</v>
      </c>
      <c r="P147" s="2" t="s">
        <v>2813</v>
      </c>
      <c r="Q147" s="2" t="s">
        <v>2814</v>
      </c>
      <c r="R147" s="2" t="s">
        <v>2815</v>
      </c>
      <c r="S147" s="2" t="s">
        <v>50</v>
      </c>
      <c r="T147" s="2" t="s">
        <v>2816</v>
      </c>
      <c r="U147" s="2" t="s">
        <v>2817</v>
      </c>
      <c r="V147" s="2"/>
      <c r="W147" s="2" t="s">
        <v>2818</v>
      </c>
      <c r="X147" s="2" t="s">
        <v>2819</v>
      </c>
      <c r="Y147" s="2" t="s">
        <v>2820</v>
      </c>
      <c r="Z147" s="2" t="s">
        <v>2821</v>
      </c>
      <c r="AA147" s="2"/>
      <c r="AB147" s="2"/>
      <c r="AC147" s="2" t="s">
        <v>2822</v>
      </c>
      <c r="AD147" s="2"/>
      <c r="AE147" s="2" t="s">
        <v>58</v>
      </c>
      <c r="AF147" s="2"/>
      <c r="AG147" s="3" t="str">
        <f aca="false">IF(A147="","",IF(COUNTA(O147:R147)&lt;4,"Needs 4 options",IF(ISERROR(FIND(UPPER(S147),"ABCD"))+(LEN(S147)&lt;&gt;1),"Answer must be A-D",IF(OR(D147&lt;1,D147&gt;3),"Difficulty must be 1-3",IF(OR(N147="",T147=""),"Missing question or explanation",IF(COUNTBLANK(U147:X147)&lt;&gt;1,"Need 3 why-not texts",IF(INDEX(U147:X147,1,FIND(UPPER(S147),"ABCD"))&lt;&gt;"","Why-not filled for the answer",IF(AND(B147&lt;&gt;"live",B147&lt;&gt;"draft",B147&lt;&gt;"retired"),"Status must be live/draft/retired","OK"))))))))</f>
        <v>OK</v>
      </c>
    </row>
    <row r="148" customFormat="false" ht="57.45" hidden="false" customHeight="false" outlineLevel="0" collapsed="false">
      <c r="A148" s="2" t="s">
        <v>2823</v>
      </c>
      <c r="B148" s="2" t="s">
        <v>34</v>
      </c>
      <c r="C148" s="2" t="s">
        <v>1228</v>
      </c>
      <c r="D148" s="2" t="n">
        <v>2</v>
      </c>
      <c r="E148" s="2" t="s">
        <v>2824</v>
      </c>
      <c r="F148" s="2" t="s">
        <v>2000</v>
      </c>
      <c r="G148" s="2" t="s">
        <v>2825</v>
      </c>
      <c r="H148" s="2" t="s">
        <v>549</v>
      </c>
      <c r="I148" s="2" t="s">
        <v>2826</v>
      </c>
      <c r="J148" s="2" t="s">
        <v>2827</v>
      </c>
      <c r="K148" s="2" t="s">
        <v>2828</v>
      </c>
      <c r="L148" s="2" t="s">
        <v>2829</v>
      </c>
      <c r="M148" s="2" t="s">
        <v>2830</v>
      </c>
      <c r="N148" s="2" t="s">
        <v>1832</v>
      </c>
      <c r="O148" s="2" t="s">
        <v>2831</v>
      </c>
      <c r="P148" s="2" t="s">
        <v>2832</v>
      </c>
      <c r="Q148" s="2" t="s">
        <v>2833</v>
      </c>
      <c r="R148" s="2" t="s">
        <v>2834</v>
      </c>
      <c r="S148" s="2" t="s">
        <v>50</v>
      </c>
      <c r="T148" s="2" t="s">
        <v>2835</v>
      </c>
      <c r="U148" s="2" t="s">
        <v>2836</v>
      </c>
      <c r="V148" s="2"/>
      <c r="W148" s="2" t="s">
        <v>2837</v>
      </c>
      <c r="X148" s="2" t="s">
        <v>2838</v>
      </c>
      <c r="Y148" s="2" t="s">
        <v>2839</v>
      </c>
      <c r="Z148" s="2" t="s">
        <v>2840</v>
      </c>
      <c r="AA148" s="2"/>
      <c r="AB148" s="2"/>
      <c r="AC148" s="2" t="s">
        <v>2841</v>
      </c>
      <c r="AD148" s="2"/>
      <c r="AE148" s="2" t="s">
        <v>58</v>
      </c>
      <c r="AF148" s="2"/>
      <c r="AG148" s="3" t="str">
        <f aca="false">IF(A148="","",IF(COUNTA(O148:R148)&lt;4,"Needs 4 options",IF(ISERROR(FIND(UPPER(S148),"ABCD"))+(LEN(S148)&lt;&gt;1),"Answer must be A-D",IF(OR(D148&lt;1,D148&gt;3),"Difficulty must be 1-3",IF(OR(N148="",T148=""),"Missing question or explanation",IF(COUNTBLANK(U148:X148)&lt;&gt;1,"Need 3 why-not texts",IF(INDEX(U148:X148,1,FIND(UPPER(S148),"ABCD"))&lt;&gt;"","Why-not filled for the answer",IF(AND(B148&lt;&gt;"live",B148&lt;&gt;"draft",B148&lt;&gt;"retired"),"Status must be live/draft/retired","OK"))))))))</f>
        <v>OK</v>
      </c>
    </row>
    <row r="149" customFormat="false" ht="57.45" hidden="false" customHeight="false" outlineLevel="0" collapsed="false">
      <c r="A149" s="2" t="s">
        <v>2842</v>
      </c>
      <c r="B149" s="2" t="s">
        <v>34</v>
      </c>
      <c r="C149" s="2" t="s">
        <v>1228</v>
      </c>
      <c r="D149" s="2" t="n">
        <v>2</v>
      </c>
      <c r="E149" s="2" t="s">
        <v>2843</v>
      </c>
      <c r="F149" s="2" t="s">
        <v>937</v>
      </c>
      <c r="G149" s="2" t="s">
        <v>2844</v>
      </c>
      <c r="H149" s="2" t="s">
        <v>2845</v>
      </c>
      <c r="I149" s="2" t="s">
        <v>2846</v>
      </c>
      <c r="J149" s="2" t="s">
        <v>2847</v>
      </c>
      <c r="K149" s="2" t="s">
        <v>2848</v>
      </c>
      <c r="L149" s="2" t="s">
        <v>549</v>
      </c>
      <c r="M149" s="2" t="s">
        <v>2849</v>
      </c>
      <c r="N149" s="2" t="s">
        <v>2850</v>
      </c>
      <c r="O149" s="2" t="s">
        <v>2848</v>
      </c>
      <c r="P149" s="2" t="s">
        <v>2851</v>
      </c>
      <c r="Q149" s="2" t="s">
        <v>2852</v>
      </c>
      <c r="R149" s="2" t="s">
        <v>2853</v>
      </c>
      <c r="S149" s="2" t="s">
        <v>50</v>
      </c>
      <c r="T149" s="2" t="s">
        <v>2854</v>
      </c>
      <c r="U149" s="2" t="s">
        <v>2855</v>
      </c>
      <c r="V149" s="2"/>
      <c r="W149" s="2" t="s">
        <v>2856</v>
      </c>
      <c r="X149" s="2" t="s">
        <v>2857</v>
      </c>
      <c r="Y149" s="2" t="s">
        <v>2858</v>
      </c>
      <c r="Z149" s="2" t="s">
        <v>2859</v>
      </c>
      <c r="AA149" s="2"/>
      <c r="AB149" s="2"/>
      <c r="AC149" s="2" t="s">
        <v>2860</v>
      </c>
      <c r="AD149" s="2"/>
      <c r="AE149" s="2" t="s">
        <v>58</v>
      </c>
      <c r="AF149" s="2"/>
      <c r="AG149" s="3" t="str">
        <f aca="false">IF(A149="","",IF(COUNTA(O149:R149)&lt;4,"Needs 4 options",IF(ISERROR(FIND(UPPER(S149),"ABCD"))+(LEN(S149)&lt;&gt;1),"Answer must be A-D",IF(OR(D149&lt;1,D149&gt;3),"Difficulty must be 1-3",IF(OR(N149="",T149=""),"Missing question or explanation",IF(COUNTBLANK(U149:X149)&lt;&gt;1,"Need 3 why-not texts",IF(INDEX(U149:X149,1,FIND(UPPER(S149),"ABCD"))&lt;&gt;"","Why-not filled for the answer",IF(AND(B149&lt;&gt;"live",B149&lt;&gt;"draft",B149&lt;&gt;"retired"),"Status must be live/draft/retired","OK"))))))))</f>
        <v>OK</v>
      </c>
    </row>
    <row r="150" customFormat="false" ht="57.45" hidden="false" customHeight="false" outlineLevel="0" collapsed="false">
      <c r="A150" s="2" t="s">
        <v>2861</v>
      </c>
      <c r="B150" s="2" t="s">
        <v>34</v>
      </c>
      <c r="C150" s="2" t="s">
        <v>1228</v>
      </c>
      <c r="D150" s="2" t="n">
        <v>2</v>
      </c>
      <c r="E150" s="2" t="s">
        <v>2862</v>
      </c>
      <c r="F150" s="2" t="s">
        <v>937</v>
      </c>
      <c r="G150" s="2" t="s">
        <v>2863</v>
      </c>
      <c r="H150" s="2" t="s">
        <v>549</v>
      </c>
      <c r="I150" s="2" t="s">
        <v>2864</v>
      </c>
      <c r="J150" s="2" t="s">
        <v>2865</v>
      </c>
      <c r="K150" s="2" t="s">
        <v>2866</v>
      </c>
      <c r="L150" s="2" t="s">
        <v>1345</v>
      </c>
      <c r="M150" s="2" t="s">
        <v>2867</v>
      </c>
      <c r="N150" s="2" t="s">
        <v>1832</v>
      </c>
      <c r="O150" s="2" t="s">
        <v>2868</v>
      </c>
      <c r="P150" s="2" t="s">
        <v>2869</v>
      </c>
      <c r="Q150" s="2" t="s">
        <v>2870</v>
      </c>
      <c r="R150" s="2" t="s">
        <v>2871</v>
      </c>
      <c r="S150" s="2" t="s">
        <v>50</v>
      </c>
      <c r="T150" s="2" t="s">
        <v>2872</v>
      </c>
      <c r="U150" s="2" t="s">
        <v>2873</v>
      </c>
      <c r="V150" s="2"/>
      <c r="W150" s="2" t="s">
        <v>2874</v>
      </c>
      <c r="X150" s="2" t="s">
        <v>2875</v>
      </c>
      <c r="Y150" s="2" t="s">
        <v>2876</v>
      </c>
      <c r="Z150" s="2" t="s">
        <v>2877</v>
      </c>
      <c r="AA150" s="2"/>
      <c r="AB150" s="2"/>
      <c r="AC150" s="2" t="s">
        <v>2878</v>
      </c>
      <c r="AD150" s="2"/>
      <c r="AE150" s="2" t="s">
        <v>58</v>
      </c>
      <c r="AF150" s="2"/>
      <c r="AG150" s="3" t="str">
        <f aca="false">IF(A150="","",IF(COUNTA(O150:R150)&lt;4,"Needs 4 options",IF(ISERROR(FIND(UPPER(S150),"ABCD"))+(LEN(S150)&lt;&gt;1),"Answer must be A-D",IF(OR(D150&lt;1,D150&gt;3),"Difficulty must be 1-3",IF(OR(N150="",T150=""),"Missing question or explanation",IF(COUNTBLANK(U150:X150)&lt;&gt;1,"Need 3 why-not texts",IF(INDEX(U150:X150,1,FIND(UPPER(S150),"ABCD"))&lt;&gt;"","Why-not filled for the answer",IF(AND(B150&lt;&gt;"live",B150&lt;&gt;"draft",B150&lt;&gt;"retired"),"Status must be live/draft/retired","OK"))))))))</f>
        <v>OK</v>
      </c>
    </row>
    <row r="151" customFormat="false" ht="35.05" hidden="false" customHeight="false" outlineLevel="0" collapsed="false">
      <c r="A151" s="2" t="s">
        <v>2879</v>
      </c>
      <c r="B151" s="2" t="s">
        <v>34</v>
      </c>
      <c r="C151" s="2" t="s">
        <v>1228</v>
      </c>
      <c r="D151" s="2" t="n">
        <v>1</v>
      </c>
      <c r="E151" s="2" t="s">
        <v>2880</v>
      </c>
      <c r="F151" s="2" t="s">
        <v>937</v>
      </c>
      <c r="G151" s="2" t="s">
        <v>2881</v>
      </c>
      <c r="H151" s="2" t="s">
        <v>2882</v>
      </c>
      <c r="I151" s="2" t="s">
        <v>2883</v>
      </c>
      <c r="J151" s="2" t="s">
        <v>549</v>
      </c>
      <c r="K151" s="2" t="s">
        <v>2884</v>
      </c>
      <c r="L151" s="2" t="s">
        <v>2885</v>
      </c>
      <c r="M151" s="2" t="s">
        <v>2886</v>
      </c>
      <c r="N151" s="2" t="s">
        <v>2887</v>
      </c>
      <c r="O151" s="2" t="s">
        <v>2888</v>
      </c>
      <c r="P151" s="2" t="s">
        <v>2889</v>
      </c>
      <c r="Q151" s="2" t="s">
        <v>2890</v>
      </c>
      <c r="R151" s="2" t="s">
        <v>2891</v>
      </c>
      <c r="S151" s="2" t="s">
        <v>50</v>
      </c>
      <c r="T151" s="2" t="s">
        <v>2892</v>
      </c>
      <c r="U151" s="2" t="s">
        <v>2893</v>
      </c>
      <c r="V151" s="2"/>
      <c r="W151" s="2" t="s">
        <v>2894</v>
      </c>
      <c r="X151" s="2" t="s">
        <v>2895</v>
      </c>
      <c r="Y151" s="2" t="s">
        <v>2896</v>
      </c>
      <c r="Z151" s="2" t="s">
        <v>2897</v>
      </c>
      <c r="AA151" s="2"/>
      <c r="AB151" s="2"/>
      <c r="AC151" s="2" t="s">
        <v>2898</v>
      </c>
      <c r="AD151" s="2"/>
      <c r="AE151" s="2" t="s">
        <v>58</v>
      </c>
      <c r="AF151" s="2"/>
      <c r="AG151" s="3" t="str">
        <f aca="false">IF(A151="","",IF(COUNTA(O151:R151)&lt;4,"Needs 4 options",IF(ISERROR(FIND(UPPER(S151),"ABCD"))+(LEN(S151)&lt;&gt;1),"Answer must be A-D",IF(OR(D151&lt;1,D151&gt;3),"Difficulty must be 1-3",IF(OR(N151="",T151=""),"Missing question or explanation",IF(COUNTBLANK(U151:X151)&lt;&gt;1,"Need 3 why-not texts",IF(INDEX(U151:X151,1,FIND(UPPER(S151),"ABCD"))&lt;&gt;"","Why-not filled for the answer",IF(AND(B151&lt;&gt;"live",B151&lt;&gt;"draft",B151&lt;&gt;"retired"),"Status must be live/draft/retired","OK"))))))))</f>
        <v>OK</v>
      </c>
    </row>
    <row r="152" customFormat="false" ht="46.25" hidden="false" customHeight="false" outlineLevel="0" collapsed="false">
      <c r="A152" s="2" t="s">
        <v>2899</v>
      </c>
      <c r="B152" s="2" t="s">
        <v>34</v>
      </c>
      <c r="C152" s="2" t="s">
        <v>1228</v>
      </c>
      <c r="D152" s="2" t="n">
        <v>2</v>
      </c>
      <c r="E152" s="2" t="s">
        <v>2900</v>
      </c>
      <c r="F152" s="2" t="s">
        <v>937</v>
      </c>
      <c r="G152" s="2" t="s">
        <v>2901</v>
      </c>
      <c r="H152" s="2" t="s">
        <v>549</v>
      </c>
      <c r="I152" s="2" t="s">
        <v>2902</v>
      </c>
      <c r="J152" s="2" t="s">
        <v>2903</v>
      </c>
      <c r="K152" s="2" t="s">
        <v>2904</v>
      </c>
      <c r="L152" s="2" t="s">
        <v>2905</v>
      </c>
      <c r="M152" s="2" t="s">
        <v>2906</v>
      </c>
      <c r="N152" s="2" t="s">
        <v>1291</v>
      </c>
      <c r="O152" s="2" t="s">
        <v>2907</v>
      </c>
      <c r="P152" s="2" t="s">
        <v>2908</v>
      </c>
      <c r="Q152" s="2" t="s">
        <v>2909</v>
      </c>
      <c r="R152" s="2" t="s">
        <v>2910</v>
      </c>
      <c r="S152" s="2" t="s">
        <v>50</v>
      </c>
      <c r="T152" s="2" t="s">
        <v>2911</v>
      </c>
      <c r="U152" s="2" t="s">
        <v>2912</v>
      </c>
      <c r="V152" s="2"/>
      <c r="W152" s="2" t="s">
        <v>2913</v>
      </c>
      <c r="X152" s="2" t="s">
        <v>2914</v>
      </c>
      <c r="Y152" s="2" t="s">
        <v>2915</v>
      </c>
      <c r="Z152" s="2" t="s">
        <v>2916</v>
      </c>
      <c r="AA152" s="2"/>
      <c r="AB152" s="2"/>
      <c r="AC152" s="2" t="s">
        <v>2917</v>
      </c>
      <c r="AD152" s="2"/>
      <c r="AE152" s="2" t="s">
        <v>58</v>
      </c>
      <c r="AF152" s="2"/>
      <c r="AG152" s="3" t="str">
        <f aca="false">IF(A152="","",IF(COUNTA(O152:R152)&lt;4,"Needs 4 options",IF(ISERROR(FIND(UPPER(S152),"ABCD"))+(LEN(S152)&lt;&gt;1),"Answer must be A-D",IF(OR(D152&lt;1,D152&gt;3),"Difficulty must be 1-3",IF(OR(N152="",T152=""),"Missing question or explanation",IF(COUNTBLANK(U152:X152)&lt;&gt;1,"Need 3 why-not texts",IF(INDEX(U152:X152,1,FIND(UPPER(S152),"ABCD"))&lt;&gt;"","Why-not filled for the answer",IF(AND(B152&lt;&gt;"live",B152&lt;&gt;"draft",B152&lt;&gt;"retired"),"Status must be live/draft/retired","OK"))))))))</f>
        <v>OK</v>
      </c>
    </row>
    <row r="153" customFormat="false" ht="57.45" hidden="false" customHeight="false" outlineLevel="0" collapsed="false">
      <c r="A153" s="2" t="s">
        <v>2918</v>
      </c>
      <c r="B153" s="2" t="s">
        <v>34</v>
      </c>
      <c r="C153" s="2" t="s">
        <v>1228</v>
      </c>
      <c r="D153" s="2" t="n">
        <v>1</v>
      </c>
      <c r="E153" s="2" t="s">
        <v>2919</v>
      </c>
      <c r="F153" s="2" t="s">
        <v>937</v>
      </c>
      <c r="G153" s="2" t="s">
        <v>2792</v>
      </c>
      <c r="H153" s="2" t="s">
        <v>2652</v>
      </c>
      <c r="I153" s="2" t="s">
        <v>2920</v>
      </c>
      <c r="J153" s="2" t="s">
        <v>2650</v>
      </c>
      <c r="K153" s="2" t="s">
        <v>2921</v>
      </c>
      <c r="L153" s="2" t="s">
        <v>549</v>
      </c>
      <c r="M153" s="2" t="s">
        <v>2922</v>
      </c>
      <c r="N153" s="2" t="s">
        <v>2656</v>
      </c>
      <c r="O153" s="2" t="s">
        <v>2923</v>
      </c>
      <c r="P153" s="2" t="s">
        <v>2924</v>
      </c>
      <c r="Q153" s="2" t="s">
        <v>2925</v>
      </c>
      <c r="R153" s="2" t="s">
        <v>2926</v>
      </c>
      <c r="S153" s="2" t="s">
        <v>50</v>
      </c>
      <c r="T153" s="2" t="s">
        <v>2927</v>
      </c>
      <c r="U153" s="2" t="s">
        <v>2928</v>
      </c>
      <c r="V153" s="2"/>
      <c r="W153" s="2" t="s">
        <v>2929</v>
      </c>
      <c r="X153" s="2" t="s">
        <v>2930</v>
      </c>
      <c r="Y153" s="2" t="s">
        <v>2931</v>
      </c>
      <c r="Z153" s="2" t="s">
        <v>2932</v>
      </c>
      <c r="AA153" s="2"/>
      <c r="AB153" s="2"/>
      <c r="AC153" s="2" t="s">
        <v>2933</v>
      </c>
      <c r="AD153" s="2"/>
      <c r="AE153" s="2" t="s">
        <v>58</v>
      </c>
      <c r="AF153" s="2"/>
      <c r="AG153" s="3" t="str">
        <f aca="false">IF(A153="","",IF(COUNTA(O153:R153)&lt;4,"Needs 4 options",IF(ISERROR(FIND(UPPER(S153),"ABCD"))+(LEN(S153)&lt;&gt;1),"Answer must be A-D",IF(OR(D153&lt;1,D153&gt;3),"Difficulty must be 1-3",IF(OR(N153="",T153=""),"Missing question or explanation",IF(COUNTBLANK(U153:X153)&lt;&gt;1,"Need 3 why-not texts",IF(INDEX(U153:X153,1,FIND(UPPER(S153),"ABCD"))&lt;&gt;"","Why-not filled for the answer",IF(AND(B153&lt;&gt;"live",B153&lt;&gt;"draft",B153&lt;&gt;"retired"),"Status must be live/draft/retired","OK"))))))))</f>
        <v>OK</v>
      </c>
    </row>
    <row r="154" customFormat="false" ht="23.85" hidden="false" customHeight="false" outlineLevel="0" collapsed="false">
      <c r="A154" s="2" t="s">
        <v>2934</v>
      </c>
      <c r="B154" s="2" t="s">
        <v>34</v>
      </c>
      <c r="C154" s="2" t="s">
        <v>1228</v>
      </c>
      <c r="D154" s="2" t="n">
        <v>1</v>
      </c>
      <c r="E154" s="2" t="s">
        <v>2935</v>
      </c>
      <c r="F154" s="2" t="s">
        <v>937</v>
      </c>
      <c r="G154" s="2" t="s">
        <v>2936</v>
      </c>
      <c r="H154" s="2" t="s">
        <v>2937</v>
      </c>
      <c r="I154" s="2" t="s">
        <v>2938</v>
      </c>
      <c r="J154" s="2" t="s">
        <v>1042</v>
      </c>
      <c r="K154" s="2" t="s">
        <v>2939</v>
      </c>
      <c r="L154" s="2" t="s">
        <v>549</v>
      </c>
      <c r="M154" s="2" t="s">
        <v>2940</v>
      </c>
      <c r="N154" s="2" t="s">
        <v>1139</v>
      </c>
      <c r="O154" s="2" t="s">
        <v>2941</v>
      </c>
      <c r="P154" s="2" t="s">
        <v>2942</v>
      </c>
      <c r="Q154" s="2" t="s">
        <v>2943</v>
      </c>
      <c r="R154" s="2" t="s">
        <v>2944</v>
      </c>
      <c r="S154" s="2" t="s">
        <v>50</v>
      </c>
      <c r="T154" s="2" t="s">
        <v>2945</v>
      </c>
      <c r="U154" s="2" t="s">
        <v>2946</v>
      </c>
      <c r="V154" s="2"/>
      <c r="W154" s="2" t="s">
        <v>2947</v>
      </c>
      <c r="X154" s="2" t="s">
        <v>2948</v>
      </c>
      <c r="Y154" s="2" t="s">
        <v>2949</v>
      </c>
      <c r="Z154" s="2" t="s">
        <v>2950</v>
      </c>
      <c r="AA154" s="2"/>
      <c r="AB154" s="2"/>
      <c r="AC154" s="2" t="s">
        <v>2951</v>
      </c>
      <c r="AD154" s="2"/>
      <c r="AE154" s="2" t="s">
        <v>58</v>
      </c>
      <c r="AF154" s="2"/>
      <c r="AG154" s="3" t="str">
        <f aca="false">IF(A154="","",IF(COUNTA(O154:R154)&lt;4,"Needs 4 options",IF(ISERROR(FIND(UPPER(S154),"ABCD"))+(LEN(S154)&lt;&gt;1),"Answer must be A-D",IF(OR(D154&lt;1,D154&gt;3),"Difficulty must be 1-3",IF(OR(N154="",T154=""),"Missing question or explanation",IF(COUNTBLANK(U154:X154)&lt;&gt;1,"Need 3 why-not texts",IF(INDEX(U154:X154,1,FIND(UPPER(S154),"ABCD"))&lt;&gt;"","Why-not filled for the answer",IF(AND(B154&lt;&gt;"live",B154&lt;&gt;"draft",B154&lt;&gt;"retired"),"Status must be live/draft/retired","OK"))))))))</f>
        <v>OK</v>
      </c>
    </row>
    <row r="155" customFormat="false" ht="57.45" hidden="false" customHeight="false" outlineLevel="0" collapsed="false">
      <c r="A155" s="2" t="s">
        <v>2952</v>
      </c>
      <c r="B155" s="2" t="s">
        <v>34</v>
      </c>
      <c r="C155" s="2" t="s">
        <v>1228</v>
      </c>
      <c r="D155" s="2" t="n">
        <v>2</v>
      </c>
      <c r="E155" s="2" t="s">
        <v>2953</v>
      </c>
      <c r="F155" s="2" t="s">
        <v>937</v>
      </c>
      <c r="G155" s="2" t="s">
        <v>2792</v>
      </c>
      <c r="H155" s="2" t="s">
        <v>2954</v>
      </c>
      <c r="I155" s="2" t="s">
        <v>2955</v>
      </c>
      <c r="J155" s="2" t="s">
        <v>2956</v>
      </c>
      <c r="K155" s="2" t="s">
        <v>2957</v>
      </c>
      <c r="L155" s="2" t="s">
        <v>549</v>
      </c>
      <c r="M155" s="2" t="s">
        <v>2958</v>
      </c>
      <c r="N155" s="2" t="s">
        <v>2959</v>
      </c>
      <c r="O155" s="2" t="s">
        <v>2960</v>
      </c>
      <c r="P155" s="2" t="s">
        <v>2961</v>
      </c>
      <c r="Q155" s="2" t="s">
        <v>2962</v>
      </c>
      <c r="R155" s="2" t="s">
        <v>2963</v>
      </c>
      <c r="S155" s="2" t="s">
        <v>50</v>
      </c>
      <c r="T155" s="2" t="s">
        <v>2964</v>
      </c>
      <c r="U155" s="2" t="s">
        <v>2965</v>
      </c>
      <c r="V155" s="2"/>
      <c r="W155" s="2" t="s">
        <v>2966</v>
      </c>
      <c r="X155" s="2" t="s">
        <v>2967</v>
      </c>
      <c r="Y155" s="2" t="s">
        <v>2968</v>
      </c>
      <c r="Z155" s="2" t="s">
        <v>2969</v>
      </c>
      <c r="AA155" s="2"/>
      <c r="AB155" s="2"/>
      <c r="AC155" s="2" t="s">
        <v>2970</v>
      </c>
      <c r="AD155" s="2"/>
      <c r="AE155" s="2" t="s">
        <v>58</v>
      </c>
      <c r="AF155" s="2"/>
      <c r="AG155" s="3" t="str">
        <f aca="false">IF(A155="","",IF(COUNTA(O155:R155)&lt;4,"Needs 4 options",IF(ISERROR(FIND(UPPER(S155),"ABCD"))+(LEN(S155)&lt;&gt;1),"Answer must be A-D",IF(OR(D155&lt;1,D155&gt;3),"Difficulty must be 1-3",IF(OR(N155="",T155=""),"Missing question or explanation",IF(COUNTBLANK(U155:X155)&lt;&gt;1,"Need 3 why-not texts",IF(INDEX(U155:X155,1,FIND(UPPER(S155),"ABCD"))&lt;&gt;"","Why-not filled for the answer",IF(AND(B155&lt;&gt;"live",B155&lt;&gt;"draft",B155&lt;&gt;"retired"),"Status must be live/draft/retired","OK"))))))))</f>
        <v>OK</v>
      </c>
    </row>
    <row r="156" customFormat="false" ht="57.45" hidden="false" customHeight="false" outlineLevel="0" collapsed="false">
      <c r="A156" s="2" t="s">
        <v>2971</v>
      </c>
      <c r="B156" s="2" t="s">
        <v>34</v>
      </c>
      <c r="C156" s="2" t="s">
        <v>1228</v>
      </c>
      <c r="D156" s="2" t="n">
        <v>3</v>
      </c>
      <c r="E156" s="2" t="s">
        <v>2972</v>
      </c>
      <c r="F156" s="2" t="s">
        <v>2080</v>
      </c>
      <c r="G156" s="2" t="s">
        <v>2973</v>
      </c>
      <c r="H156" s="2" t="s">
        <v>2974</v>
      </c>
      <c r="I156" s="2" t="s">
        <v>2975</v>
      </c>
      <c r="J156" s="2" t="s">
        <v>2976</v>
      </c>
      <c r="K156" s="2" t="s">
        <v>2977</v>
      </c>
      <c r="L156" s="2" t="s">
        <v>549</v>
      </c>
      <c r="M156" s="2" t="s">
        <v>2978</v>
      </c>
      <c r="N156" s="2" t="s">
        <v>2979</v>
      </c>
      <c r="O156" s="2" t="s">
        <v>2080</v>
      </c>
      <c r="P156" s="2" t="s">
        <v>2980</v>
      </c>
      <c r="Q156" s="2" t="s">
        <v>2981</v>
      </c>
      <c r="R156" s="2" t="s">
        <v>2982</v>
      </c>
      <c r="S156" s="2" t="s">
        <v>50</v>
      </c>
      <c r="T156" s="2" t="s">
        <v>2983</v>
      </c>
      <c r="U156" s="2" t="s">
        <v>2984</v>
      </c>
      <c r="V156" s="2"/>
      <c r="W156" s="2" t="s">
        <v>2985</v>
      </c>
      <c r="X156" s="2" t="s">
        <v>2986</v>
      </c>
      <c r="Y156" s="2" t="s">
        <v>2987</v>
      </c>
      <c r="Z156" s="2" t="s">
        <v>2988</v>
      </c>
      <c r="AA156" s="2"/>
      <c r="AB156" s="2"/>
      <c r="AC156" s="2" t="s">
        <v>2989</v>
      </c>
      <c r="AD156" s="2"/>
      <c r="AE156" s="2" t="s">
        <v>58</v>
      </c>
      <c r="AF156" s="2"/>
      <c r="AG156" s="3" t="str">
        <f aca="false">IF(A156="","",IF(COUNTA(O156:R156)&lt;4,"Needs 4 options",IF(ISERROR(FIND(UPPER(S156),"ABCD"))+(LEN(S156)&lt;&gt;1),"Answer must be A-D",IF(OR(D156&lt;1,D156&gt;3),"Difficulty must be 1-3",IF(OR(N156="",T156=""),"Missing question or explanation",IF(COUNTBLANK(U156:X156)&lt;&gt;1,"Need 3 why-not texts",IF(INDEX(U156:X156,1,FIND(UPPER(S156),"ABCD"))&lt;&gt;"","Why-not filled for the answer",IF(AND(B156&lt;&gt;"live",B156&lt;&gt;"draft",B156&lt;&gt;"retired"),"Status must be live/draft/retired","OK"))))))))</f>
        <v>OK</v>
      </c>
    </row>
    <row r="157" customFormat="false" ht="91" hidden="false" customHeight="false" outlineLevel="0" collapsed="false">
      <c r="A157" s="2" t="s">
        <v>2990</v>
      </c>
      <c r="B157" s="2" t="s">
        <v>34</v>
      </c>
      <c r="C157" s="2" t="s">
        <v>1228</v>
      </c>
      <c r="D157" s="2" t="n">
        <v>1</v>
      </c>
      <c r="E157" s="2" t="s">
        <v>2991</v>
      </c>
      <c r="F157" s="2" t="s">
        <v>2992</v>
      </c>
      <c r="G157" s="2" t="s">
        <v>2993</v>
      </c>
      <c r="H157" s="2" t="s">
        <v>2994</v>
      </c>
      <c r="I157" s="2" t="s">
        <v>2995</v>
      </c>
      <c r="J157" s="2" t="s">
        <v>2996</v>
      </c>
      <c r="K157" s="2" t="s">
        <v>2997</v>
      </c>
      <c r="L157" s="2" t="s">
        <v>2998</v>
      </c>
      <c r="M157" s="2" t="s">
        <v>65</v>
      </c>
      <c r="N157" s="2" t="s">
        <v>2999</v>
      </c>
      <c r="O157" s="2" t="s">
        <v>3000</v>
      </c>
      <c r="P157" s="2" t="s">
        <v>3001</v>
      </c>
      <c r="Q157" s="2" t="s">
        <v>3002</v>
      </c>
      <c r="R157" s="2" t="s">
        <v>3003</v>
      </c>
      <c r="S157" s="2" t="s">
        <v>50</v>
      </c>
      <c r="T157" s="2" t="s">
        <v>3004</v>
      </c>
      <c r="U157" s="2" t="s">
        <v>3005</v>
      </c>
      <c r="V157" s="2"/>
      <c r="W157" s="2" t="s">
        <v>3006</v>
      </c>
      <c r="X157" s="2" t="s">
        <v>3007</v>
      </c>
      <c r="Y157" s="2" t="s">
        <v>3008</v>
      </c>
      <c r="Z157" s="2" t="s">
        <v>3009</v>
      </c>
      <c r="AA157" s="2"/>
      <c r="AB157" s="2"/>
      <c r="AC157" s="2" t="s">
        <v>3010</v>
      </c>
      <c r="AD157" s="2"/>
      <c r="AE157" s="2" t="s">
        <v>58</v>
      </c>
      <c r="AF157" s="2"/>
      <c r="AG157" s="3" t="str">
        <f aca="false">IF(A157="","",IF(COUNTA(O157:R157)&lt;4,"Needs 4 options",IF(ISERROR(FIND(UPPER(S157),"ABCD"))+(LEN(S157)&lt;&gt;1),"Answer must be A-D",IF(OR(D157&lt;1,D157&gt;3),"Difficulty must be 1-3",IF(OR(N157="",T157=""),"Missing question or explanation",IF(COUNTBLANK(U157:X157)&lt;&gt;1,"Need 3 why-not texts",IF(INDEX(U157:X157,1,FIND(UPPER(S157),"ABCD"))&lt;&gt;"","Why-not filled for the answer",IF(AND(B157&lt;&gt;"live",B157&lt;&gt;"draft",B157&lt;&gt;"retired"),"Status must be live/draft/retired","OK"))))))))</f>
        <v>OK</v>
      </c>
    </row>
    <row r="158" customFormat="false" ht="46.25" hidden="false" customHeight="false" outlineLevel="0" collapsed="false">
      <c r="A158" s="2" t="s">
        <v>3011</v>
      </c>
      <c r="B158" s="2" t="s">
        <v>34</v>
      </c>
      <c r="C158" s="2" t="s">
        <v>1304</v>
      </c>
      <c r="D158" s="2" t="n">
        <v>2</v>
      </c>
      <c r="E158" s="2" t="s">
        <v>3012</v>
      </c>
      <c r="F158" s="2" t="s">
        <v>937</v>
      </c>
      <c r="G158" s="2" t="s">
        <v>3013</v>
      </c>
      <c r="H158" s="2" t="s">
        <v>549</v>
      </c>
      <c r="I158" s="2" t="s">
        <v>3014</v>
      </c>
      <c r="J158" s="2" t="s">
        <v>3015</v>
      </c>
      <c r="K158" s="2" t="s">
        <v>3016</v>
      </c>
      <c r="L158" s="2" t="s">
        <v>3017</v>
      </c>
      <c r="M158" s="2" t="s">
        <v>3018</v>
      </c>
      <c r="N158" s="2" t="s">
        <v>1194</v>
      </c>
      <c r="O158" s="2" t="s">
        <v>3019</v>
      </c>
      <c r="P158" s="2" t="s">
        <v>3020</v>
      </c>
      <c r="Q158" s="2" t="s">
        <v>3021</v>
      </c>
      <c r="R158" s="2" t="s">
        <v>3022</v>
      </c>
      <c r="S158" s="2" t="s">
        <v>50</v>
      </c>
      <c r="T158" s="2" t="s">
        <v>3023</v>
      </c>
      <c r="U158" s="2" t="s">
        <v>3024</v>
      </c>
      <c r="V158" s="2"/>
      <c r="W158" s="2" t="s">
        <v>3025</v>
      </c>
      <c r="X158" s="2" t="s">
        <v>3026</v>
      </c>
      <c r="Y158" s="2" t="s">
        <v>3027</v>
      </c>
      <c r="Z158" s="2" t="s">
        <v>3028</v>
      </c>
      <c r="AA158" s="2"/>
      <c r="AB158" s="2"/>
      <c r="AC158" s="2" t="s">
        <v>3029</v>
      </c>
      <c r="AD158" s="2"/>
      <c r="AE158" s="2" t="s">
        <v>58</v>
      </c>
      <c r="AF158" s="2"/>
      <c r="AG158" s="3" t="str">
        <f aca="false">IF(A158="","",IF(COUNTA(O158:R158)&lt;4,"Needs 4 options",IF(ISERROR(FIND(UPPER(S158),"ABCD"))+(LEN(S158)&lt;&gt;1),"Answer must be A-D",IF(OR(D158&lt;1,D158&gt;3),"Difficulty must be 1-3",IF(OR(N158="",T158=""),"Missing question or explanation",IF(COUNTBLANK(U158:X158)&lt;&gt;1,"Need 3 why-not texts",IF(INDEX(U158:X158,1,FIND(UPPER(S158),"ABCD"))&lt;&gt;"","Why-not filled for the answer",IF(AND(B158&lt;&gt;"live",B158&lt;&gt;"draft",B158&lt;&gt;"retired"),"Status must be live/draft/retired","OK"))))))))</f>
        <v>OK</v>
      </c>
    </row>
    <row r="159" customFormat="false" ht="35.05" hidden="false" customHeight="false" outlineLevel="0" collapsed="false">
      <c r="A159" s="2" t="s">
        <v>3030</v>
      </c>
      <c r="B159" s="2" t="s">
        <v>34</v>
      </c>
      <c r="C159" s="2" t="s">
        <v>1304</v>
      </c>
      <c r="D159" s="2" t="n">
        <v>1</v>
      </c>
      <c r="E159" s="2" t="s">
        <v>3031</v>
      </c>
      <c r="F159" s="2" t="s">
        <v>37</v>
      </c>
      <c r="G159" s="2" t="s">
        <v>3032</v>
      </c>
      <c r="H159" s="2" t="s">
        <v>937</v>
      </c>
      <c r="I159" s="2" t="s">
        <v>3033</v>
      </c>
      <c r="J159" s="2" t="s">
        <v>549</v>
      </c>
      <c r="K159" s="2" t="s">
        <v>3034</v>
      </c>
      <c r="L159" s="2" t="s">
        <v>2759</v>
      </c>
      <c r="M159" s="2" t="s">
        <v>3035</v>
      </c>
      <c r="N159" s="2" t="s">
        <v>3036</v>
      </c>
      <c r="O159" s="2" t="s">
        <v>3037</v>
      </c>
      <c r="P159" s="2" t="s">
        <v>2980</v>
      </c>
      <c r="Q159" s="2" t="s">
        <v>3038</v>
      </c>
      <c r="R159" s="2" t="s">
        <v>3039</v>
      </c>
      <c r="S159" s="2" t="s">
        <v>50</v>
      </c>
      <c r="T159" s="2" t="s">
        <v>3040</v>
      </c>
      <c r="U159" s="2" t="s">
        <v>3041</v>
      </c>
      <c r="V159" s="2"/>
      <c r="W159" s="2" t="s">
        <v>3042</v>
      </c>
      <c r="X159" s="2" t="s">
        <v>3043</v>
      </c>
      <c r="Y159" s="2" t="s">
        <v>3044</v>
      </c>
      <c r="Z159" s="2" t="s">
        <v>3045</v>
      </c>
      <c r="AA159" s="2"/>
      <c r="AB159" s="2"/>
      <c r="AC159" s="2" t="s">
        <v>3046</v>
      </c>
      <c r="AD159" s="2"/>
      <c r="AE159" s="2" t="s">
        <v>58</v>
      </c>
      <c r="AF159" s="2"/>
      <c r="AG159" s="3" t="str">
        <f aca="false">IF(A159="","",IF(COUNTA(O159:R159)&lt;4,"Needs 4 options",IF(ISERROR(FIND(UPPER(S159),"ABCD"))+(LEN(S159)&lt;&gt;1),"Answer must be A-D",IF(OR(D159&lt;1,D159&gt;3),"Difficulty must be 1-3",IF(OR(N159="",T159=""),"Missing question or explanation",IF(COUNTBLANK(U159:X159)&lt;&gt;1,"Need 3 why-not texts",IF(INDEX(U159:X159,1,FIND(UPPER(S159),"ABCD"))&lt;&gt;"","Why-not filled for the answer",IF(AND(B159&lt;&gt;"live",B159&lt;&gt;"draft",B159&lt;&gt;"retired"),"Status must be live/draft/retired","OK"))))))))</f>
        <v>OK</v>
      </c>
    </row>
    <row r="160" customFormat="false" ht="113.4" hidden="false" customHeight="false" outlineLevel="0" collapsed="false">
      <c r="A160" s="2" t="s">
        <v>3047</v>
      </c>
      <c r="B160" s="2" t="s">
        <v>34</v>
      </c>
      <c r="C160" s="2" t="s">
        <v>1304</v>
      </c>
      <c r="D160" s="2" t="n">
        <v>3</v>
      </c>
      <c r="E160" s="2" t="s">
        <v>3048</v>
      </c>
      <c r="F160" s="2" t="s">
        <v>223</v>
      </c>
      <c r="G160" s="2" t="s">
        <v>3049</v>
      </c>
      <c r="H160" s="2" t="s">
        <v>384</v>
      </c>
      <c r="I160" s="2" t="s">
        <v>3050</v>
      </c>
      <c r="J160" s="2" t="s">
        <v>549</v>
      </c>
      <c r="K160" s="2" t="s">
        <v>3051</v>
      </c>
      <c r="L160" s="2" t="s">
        <v>3052</v>
      </c>
      <c r="M160" s="2" t="s">
        <v>1757</v>
      </c>
      <c r="N160" s="2" t="s">
        <v>1366</v>
      </c>
      <c r="O160" s="2" t="s">
        <v>3053</v>
      </c>
      <c r="P160" s="2" t="s">
        <v>3054</v>
      </c>
      <c r="Q160" s="2" t="s">
        <v>3055</v>
      </c>
      <c r="R160" s="2" t="s">
        <v>3056</v>
      </c>
      <c r="S160" s="2" t="s">
        <v>50</v>
      </c>
      <c r="T160" s="2" t="s">
        <v>3057</v>
      </c>
      <c r="U160" s="2" t="s">
        <v>3058</v>
      </c>
      <c r="V160" s="2"/>
      <c r="W160" s="2" t="s">
        <v>3059</v>
      </c>
      <c r="X160" s="2" t="s">
        <v>3060</v>
      </c>
      <c r="Y160" s="2" t="s">
        <v>3061</v>
      </c>
      <c r="Z160" s="2" t="s">
        <v>3062</v>
      </c>
      <c r="AA160" s="2"/>
      <c r="AB160" s="2"/>
      <c r="AC160" s="2" t="s">
        <v>3063</v>
      </c>
      <c r="AD160" s="2"/>
      <c r="AE160" s="2" t="s">
        <v>58</v>
      </c>
      <c r="AF160" s="2"/>
      <c r="AG160" s="3" t="str">
        <f aca="false">IF(A160="","",IF(COUNTA(O160:R160)&lt;4,"Needs 4 options",IF(ISERROR(FIND(UPPER(S160),"ABCD"))+(LEN(S160)&lt;&gt;1),"Answer must be A-D",IF(OR(D160&lt;1,D160&gt;3),"Difficulty must be 1-3",IF(OR(N160="",T160=""),"Missing question or explanation",IF(COUNTBLANK(U160:X160)&lt;&gt;1,"Need 3 why-not texts",IF(INDEX(U160:X160,1,FIND(UPPER(S160),"ABCD"))&lt;&gt;"","Why-not filled for the answer",IF(AND(B160&lt;&gt;"live",B160&lt;&gt;"draft",B160&lt;&gt;"retired"),"Status must be live/draft/retired","OK"))))))))</f>
        <v>OK</v>
      </c>
    </row>
    <row r="161" customFormat="false" ht="91" hidden="false" customHeight="false" outlineLevel="0" collapsed="false">
      <c r="A161" s="2" t="s">
        <v>3064</v>
      </c>
      <c r="B161" s="2" t="s">
        <v>34</v>
      </c>
      <c r="C161" s="2" t="s">
        <v>1304</v>
      </c>
      <c r="D161" s="2" t="n">
        <v>2</v>
      </c>
      <c r="E161" s="2" t="s">
        <v>3065</v>
      </c>
      <c r="F161" s="2" t="s">
        <v>37</v>
      </c>
      <c r="G161" s="2" t="s">
        <v>961</v>
      </c>
      <c r="H161" s="2" t="s">
        <v>3066</v>
      </c>
      <c r="I161" s="2" t="s">
        <v>3067</v>
      </c>
      <c r="J161" s="2" t="s">
        <v>549</v>
      </c>
      <c r="K161" s="2" t="s">
        <v>3068</v>
      </c>
      <c r="L161" s="2" t="s">
        <v>922</v>
      </c>
      <c r="M161" s="2" t="s">
        <v>3069</v>
      </c>
      <c r="N161" s="2" t="s">
        <v>2811</v>
      </c>
      <c r="O161" s="2" t="s">
        <v>3070</v>
      </c>
      <c r="P161" s="2" t="s">
        <v>3071</v>
      </c>
      <c r="Q161" s="2" t="s">
        <v>3072</v>
      </c>
      <c r="R161" s="2" t="s">
        <v>3073</v>
      </c>
      <c r="S161" s="2" t="s">
        <v>50</v>
      </c>
      <c r="T161" s="2" t="s">
        <v>3074</v>
      </c>
      <c r="U161" s="2" t="s">
        <v>3075</v>
      </c>
      <c r="V161" s="2"/>
      <c r="W161" s="2" t="s">
        <v>3076</v>
      </c>
      <c r="X161" s="2" t="s">
        <v>3077</v>
      </c>
      <c r="Y161" s="2" t="s">
        <v>3078</v>
      </c>
      <c r="Z161" s="2" t="s">
        <v>3079</v>
      </c>
      <c r="AA161" s="2"/>
      <c r="AB161" s="2"/>
      <c r="AC161" s="2" t="s">
        <v>3080</v>
      </c>
      <c r="AD161" s="2"/>
      <c r="AE161" s="2" t="s">
        <v>58</v>
      </c>
      <c r="AF161" s="2"/>
      <c r="AG161" s="3" t="str">
        <f aca="false">IF(A161="","",IF(COUNTA(O161:R161)&lt;4,"Needs 4 options",IF(ISERROR(FIND(UPPER(S161),"ABCD"))+(LEN(S161)&lt;&gt;1),"Answer must be A-D",IF(OR(D161&lt;1,D161&gt;3),"Difficulty must be 1-3",IF(OR(N161="",T161=""),"Missing question or explanation",IF(COUNTBLANK(U161:X161)&lt;&gt;1,"Need 3 why-not texts",IF(INDEX(U161:X161,1,FIND(UPPER(S161),"ABCD"))&lt;&gt;"","Why-not filled for the answer",IF(AND(B161&lt;&gt;"live",B161&lt;&gt;"draft",B161&lt;&gt;"retired"),"Status must be live/draft/retired","OK"))))))))</f>
        <v>OK</v>
      </c>
    </row>
    <row r="162" customFormat="false" ht="35.05" hidden="false" customHeight="false" outlineLevel="0" collapsed="false">
      <c r="A162" s="2" t="s">
        <v>3081</v>
      </c>
      <c r="B162" s="2" t="s">
        <v>34</v>
      </c>
      <c r="C162" s="2" t="s">
        <v>1304</v>
      </c>
      <c r="D162" s="2" t="n">
        <v>3</v>
      </c>
      <c r="E162" s="2" t="s">
        <v>3082</v>
      </c>
      <c r="F162" s="2" t="s">
        <v>223</v>
      </c>
      <c r="G162" s="2" t="s">
        <v>3083</v>
      </c>
      <c r="H162" s="2" t="s">
        <v>3084</v>
      </c>
      <c r="I162" s="2" t="s">
        <v>3085</v>
      </c>
      <c r="J162" s="2" t="s">
        <v>549</v>
      </c>
      <c r="K162" s="2" t="s">
        <v>3086</v>
      </c>
      <c r="L162" s="2" t="s">
        <v>3087</v>
      </c>
      <c r="M162" s="2" t="s">
        <v>65</v>
      </c>
      <c r="N162" s="2" t="s">
        <v>3088</v>
      </c>
      <c r="O162" s="2" t="s">
        <v>3089</v>
      </c>
      <c r="P162" s="2" t="s">
        <v>3090</v>
      </c>
      <c r="Q162" s="2" t="s">
        <v>3091</v>
      </c>
      <c r="R162" s="2" t="s">
        <v>3092</v>
      </c>
      <c r="S162" s="2" t="s">
        <v>50</v>
      </c>
      <c r="T162" s="2" t="s">
        <v>3093</v>
      </c>
      <c r="U162" s="2" t="s">
        <v>3094</v>
      </c>
      <c r="V162" s="2"/>
      <c r="W162" s="2" t="s">
        <v>3095</v>
      </c>
      <c r="X162" s="2" t="s">
        <v>3096</v>
      </c>
      <c r="Y162" s="2" t="s">
        <v>3097</v>
      </c>
      <c r="Z162" s="2" t="s">
        <v>3098</v>
      </c>
      <c r="AA162" s="2"/>
      <c r="AB162" s="2"/>
      <c r="AC162" s="2" t="s">
        <v>3099</v>
      </c>
      <c r="AD162" s="2"/>
      <c r="AE162" s="2" t="s">
        <v>58</v>
      </c>
      <c r="AF162" s="2"/>
      <c r="AG162" s="3" t="str">
        <f aca="false">IF(A162="","",IF(COUNTA(O162:R162)&lt;4,"Needs 4 options",IF(ISERROR(FIND(UPPER(S162),"ABCD"))+(LEN(S162)&lt;&gt;1),"Answer must be A-D",IF(OR(D162&lt;1,D162&gt;3),"Difficulty must be 1-3",IF(OR(N162="",T162=""),"Missing question or explanation",IF(COUNTBLANK(U162:X162)&lt;&gt;1,"Need 3 why-not texts",IF(INDEX(U162:X162,1,FIND(UPPER(S162),"ABCD"))&lt;&gt;"","Why-not filled for the answer",IF(AND(B162&lt;&gt;"live",B162&lt;&gt;"draft",B162&lt;&gt;"retired"),"Status must be live/draft/retired","OK"))))))))</f>
        <v>OK</v>
      </c>
    </row>
    <row r="163" customFormat="false" ht="23.85" hidden="false" customHeight="false" outlineLevel="0" collapsed="false">
      <c r="A163" s="2" t="s">
        <v>3100</v>
      </c>
      <c r="B163" s="2" t="s">
        <v>34</v>
      </c>
      <c r="C163" s="2" t="s">
        <v>442</v>
      </c>
      <c r="D163" s="2" t="n">
        <v>2</v>
      </c>
      <c r="E163" s="2" t="s">
        <v>3101</v>
      </c>
      <c r="F163" s="2" t="s">
        <v>37</v>
      </c>
      <c r="G163" s="2" t="s">
        <v>3102</v>
      </c>
      <c r="H163" s="2" t="s">
        <v>3103</v>
      </c>
      <c r="I163" s="2" t="s">
        <v>3104</v>
      </c>
      <c r="J163" s="2" t="s">
        <v>246</v>
      </c>
      <c r="K163" s="2" t="s">
        <v>3105</v>
      </c>
      <c r="L163" s="2" t="s">
        <v>3106</v>
      </c>
      <c r="M163" s="2" t="s">
        <v>3107</v>
      </c>
      <c r="N163" s="2" t="s">
        <v>3108</v>
      </c>
      <c r="O163" s="2" t="s">
        <v>3109</v>
      </c>
      <c r="P163" s="2" t="s">
        <v>3110</v>
      </c>
      <c r="Q163" s="2" t="s">
        <v>3111</v>
      </c>
      <c r="R163" s="2" t="s">
        <v>3112</v>
      </c>
      <c r="S163" s="2" t="s">
        <v>50</v>
      </c>
      <c r="T163" s="2" t="s">
        <v>3113</v>
      </c>
      <c r="U163" s="2" t="s">
        <v>3114</v>
      </c>
      <c r="V163" s="2"/>
      <c r="W163" s="2" t="s">
        <v>3115</v>
      </c>
      <c r="X163" s="2" t="s">
        <v>3116</v>
      </c>
      <c r="Y163" s="2" t="s">
        <v>3117</v>
      </c>
      <c r="Z163" s="2" t="s">
        <v>3118</v>
      </c>
      <c r="AA163" s="2"/>
      <c r="AB163" s="2"/>
      <c r="AC163" s="2" t="s">
        <v>3119</v>
      </c>
      <c r="AD163" s="2"/>
      <c r="AE163" s="2" t="s">
        <v>58</v>
      </c>
      <c r="AF163" s="2"/>
      <c r="AG163" s="3" t="str">
        <f aca="false">IF(A163="","",IF(COUNTA(O163:R163)&lt;4,"Needs 4 options",IF(ISERROR(FIND(UPPER(S163),"ABCD"))+(LEN(S163)&lt;&gt;1),"Answer must be A-D",IF(OR(D163&lt;1,D163&gt;3),"Difficulty must be 1-3",IF(OR(N163="",T163=""),"Missing question or explanation",IF(COUNTBLANK(U163:X163)&lt;&gt;1,"Need 3 why-not texts",IF(INDEX(U163:X163,1,FIND(UPPER(S163),"ABCD"))&lt;&gt;"","Why-not filled for the answer",IF(AND(B163&lt;&gt;"live",B163&lt;&gt;"draft",B163&lt;&gt;"retired"),"Status must be live/draft/retired","OK"))))))))</f>
        <v>OK</v>
      </c>
    </row>
    <row r="164" customFormat="false" ht="68.65" hidden="false" customHeight="false" outlineLevel="0" collapsed="false">
      <c r="A164" s="2" t="s">
        <v>3120</v>
      </c>
      <c r="B164" s="2" t="s">
        <v>34</v>
      </c>
      <c r="C164" s="2" t="s">
        <v>442</v>
      </c>
      <c r="D164" s="2" t="n">
        <v>1</v>
      </c>
      <c r="E164" s="2" t="s">
        <v>3121</v>
      </c>
      <c r="F164" s="2" t="s">
        <v>223</v>
      </c>
      <c r="G164" s="2" t="s">
        <v>3122</v>
      </c>
      <c r="H164" s="2" t="s">
        <v>545</v>
      </c>
      <c r="I164" s="2" t="s">
        <v>3123</v>
      </c>
      <c r="J164" s="2" t="s">
        <v>549</v>
      </c>
      <c r="K164" s="2" t="s">
        <v>3124</v>
      </c>
      <c r="L164" s="2" t="s">
        <v>1579</v>
      </c>
      <c r="M164" s="2" t="s">
        <v>3125</v>
      </c>
      <c r="N164" s="2" t="s">
        <v>3126</v>
      </c>
      <c r="O164" s="2" t="s">
        <v>3127</v>
      </c>
      <c r="P164" s="2" t="s">
        <v>3128</v>
      </c>
      <c r="Q164" s="2" t="s">
        <v>3129</v>
      </c>
      <c r="R164" s="2" t="s">
        <v>3130</v>
      </c>
      <c r="S164" s="2" t="s">
        <v>50</v>
      </c>
      <c r="T164" s="2" t="s">
        <v>3131</v>
      </c>
      <c r="U164" s="2" t="s">
        <v>3132</v>
      </c>
      <c r="V164" s="2"/>
      <c r="W164" s="2" t="s">
        <v>3133</v>
      </c>
      <c r="X164" s="2" t="s">
        <v>3134</v>
      </c>
      <c r="Y164" s="2" t="s">
        <v>3135</v>
      </c>
      <c r="Z164" s="2" t="s">
        <v>3136</v>
      </c>
      <c r="AA164" s="2"/>
      <c r="AB164" s="2"/>
      <c r="AC164" s="2" t="s">
        <v>3137</v>
      </c>
      <c r="AD164" s="2"/>
      <c r="AE164" s="2" t="s">
        <v>58</v>
      </c>
      <c r="AF164" s="2"/>
      <c r="AG164" s="3" t="str">
        <f aca="false">IF(A164="","",IF(COUNTA(O164:R164)&lt;4,"Needs 4 options",IF(ISERROR(FIND(UPPER(S164),"ABCD"))+(LEN(S164)&lt;&gt;1),"Answer must be A-D",IF(OR(D164&lt;1,D164&gt;3),"Difficulty must be 1-3",IF(OR(N164="",T164=""),"Missing question or explanation",IF(COUNTBLANK(U164:X164)&lt;&gt;1,"Need 3 why-not texts",IF(INDEX(U164:X164,1,FIND(UPPER(S164),"ABCD"))&lt;&gt;"","Why-not filled for the answer",IF(AND(B164&lt;&gt;"live",B164&lt;&gt;"draft",B164&lt;&gt;"retired"),"Status must be live/draft/retired","OK"))))))))</f>
        <v>OK</v>
      </c>
    </row>
    <row r="165" customFormat="false" ht="35.05" hidden="false" customHeight="false" outlineLevel="0" collapsed="false">
      <c r="A165" s="2" t="s">
        <v>3138</v>
      </c>
      <c r="B165" s="2" t="s">
        <v>34</v>
      </c>
      <c r="C165" s="2" t="s">
        <v>442</v>
      </c>
      <c r="D165" s="2" t="n">
        <v>1</v>
      </c>
      <c r="E165" s="2" t="s">
        <v>3139</v>
      </c>
      <c r="F165" s="2" t="s">
        <v>937</v>
      </c>
      <c r="G165" s="2" t="s">
        <v>3140</v>
      </c>
      <c r="H165" s="2" t="s">
        <v>549</v>
      </c>
      <c r="I165" s="2" t="s">
        <v>3141</v>
      </c>
      <c r="J165" s="2" t="s">
        <v>3142</v>
      </c>
      <c r="K165" s="2" t="s">
        <v>3143</v>
      </c>
      <c r="L165" s="2" t="s">
        <v>3144</v>
      </c>
      <c r="M165" s="2" t="s">
        <v>3145</v>
      </c>
      <c r="N165" s="2" t="s">
        <v>3146</v>
      </c>
      <c r="O165" s="2" t="s">
        <v>3147</v>
      </c>
      <c r="P165" s="2" t="s">
        <v>3148</v>
      </c>
      <c r="Q165" s="2" t="s">
        <v>3149</v>
      </c>
      <c r="R165" s="2" t="s">
        <v>3150</v>
      </c>
      <c r="S165" s="2" t="s">
        <v>50</v>
      </c>
      <c r="T165" s="2" t="s">
        <v>3151</v>
      </c>
      <c r="U165" s="2" t="s">
        <v>3152</v>
      </c>
      <c r="V165" s="2"/>
      <c r="W165" s="2" t="s">
        <v>3153</v>
      </c>
      <c r="X165" s="2" t="s">
        <v>3154</v>
      </c>
      <c r="Y165" s="2" t="s">
        <v>3155</v>
      </c>
      <c r="Z165" s="2" t="s">
        <v>3156</v>
      </c>
      <c r="AA165" s="2"/>
      <c r="AB165" s="2"/>
      <c r="AC165" s="2" t="s">
        <v>3157</v>
      </c>
      <c r="AD165" s="2"/>
      <c r="AE165" s="2" t="s">
        <v>58</v>
      </c>
      <c r="AF165" s="2"/>
      <c r="AG165" s="3" t="str">
        <f aca="false">IF(A165="","",IF(COUNTA(O165:R165)&lt;4,"Needs 4 options",IF(ISERROR(FIND(UPPER(S165),"ABCD"))+(LEN(S165)&lt;&gt;1),"Answer must be A-D",IF(OR(D165&lt;1,D165&gt;3),"Difficulty must be 1-3",IF(OR(N165="",T165=""),"Missing question or explanation",IF(COUNTBLANK(U165:X165)&lt;&gt;1,"Need 3 why-not texts",IF(INDEX(U165:X165,1,FIND(UPPER(S165),"ABCD"))&lt;&gt;"","Why-not filled for the answer",IF(AND(B165&lt;&gt;"live",B165&lt;&gt;"draft",B165&lt;&gt;"retired"),"Status must be live/draft/retired","OK"))))))))</f>
        <v>OK</v>
      </c>
    </row>
    <row r="166" customFormat="false" ht="35.05" hidden="false" customHeight="false" outlineLevel="0" collapsed="false">
      <c r="A166" s="2" t="s">
        <v>3158</v>
      </c>
      <c r="B166" s="2" t="s">
        <v>34</v>
      </c>
      <c r="C166" s="2" t="s">
        <v>442</v>
      </c>
      <c r="D166" s="2" t="n">
        <v>2</v>
      </c>
      <c r="E166" s="2" t="s">
        <v>3159</v>
      </c>
      <c r="F166" s="2" t="s">
        <v>2541</v>
      </c>
      <c r="G166" s="2" t="s">
        <v>3160</v>
      </c>
      <c r="H166" s="2" t="s">
        <v>549</v>
      </c>
      <c r="I166" s="2" t="s">
        <v>3161</v>
      </c>
      <c r="J166" s="2" t="s">
        <v>3162</v>
      </c>
      <c r="K166" s="2" t="s">
        <v>3163</v>
      </c>
      <c r="L166" s="2" t="s">
        <v>922</v>
      </c>
      <c r="M166" s="2" t="s">
        <v>3164</v>
      </c>
      <c r="N166" s="2" t="s">
        <v>3165</v>
      </c>
      <c r="O166" s="2" t="s">
        <v>3166</v>
      </c>
      <c r="P166" s="2" t="s">
        <v>3167</v>
      </c>
      <c r="Q166" s="2" t="s">
        <v>3168</v>
      </c>
      <c r="R166" s="2" t="s">
        <v>3169</v>
      </c>
      <c r="S166" s="2" t="s">
        <v>50</v>
      </c>
      <c r="T166" s="2" t="s">
        <v>3170</v>
      </c>
      <c r="U166" s="2" t="s">
        <v>3171</v>
      </c>
      <c r="V166" s="2"/>
      <c r="W166" s="2" t="s">
        <v>3172</v>
      </c>
      <c r="X166" s="2" t="s">
        <v>3173</v>
      </c>
      <c r="Y166" s="2" t="s">
        <v>3174</v>
      </c>
      <c r="Z166" s="2" t="s">
        <v>3175</v>
      </c>
      <c r="AA166" s="2"/>
      <c r="AB166" s="2"/>
      <c r="AC166" s="2" t="s">
        <v>3176</v>
      </c>
      <c r="AD166" s="2"/>
      <c r="AE166" s="2" t="s">
        <v>58</v>
      </c>
      <c r="AF166" s="2"/>
      <c r="AG166" s="3" t="str">
        <f aca="false">IF(A166="","",IF(COUNTA(O166:R166)&lt;4,"Needs 4 options",IF(ISERROR(FIND(UPPER(S166),"ABCD"))+(LEN(S166)&lt;&gt;1),"Answer must be A-D",IF(OR(D166&lt;1,D166&gt;3),"Difficulty must be 1-3",IF(OR(N166="",T166=""),"Missing question or explanation",IF(COUNTBLANK(U166:X166)&lt;&gt;1,"Need 3 why-not texts",IF(INDEX(U166:X166,1,FIND(UPPER(S166),"ABCD"))&lt;&gt;"","Why-not filled for the answer",IF(AND(B166&lt;&gt;"live",B166&lt;&gt;"draft",B166&lt;&gt;"retired"),"Status must be live/draft/retired","OK"))))))))</f>
        <v>OK</v>
      </c>
    </row>
    <row r="167" customFormat="false" ht="46.25" hidden="false" customHeight="false" outlineLevel="0" collapsed="false">
      <c r="A167" s="2" t="s">
        <v>3177</v>
      </c>
      <c r="B167" s="2" t="s">
        <v>34</v>
      </c>
      <c r="C167" s="2" t="s">
        <v>442</v>
      </c>
      <c r="D167" s="2" t="n">
        <v>3</v>
      </c>
      <c r="E167" s="2" t="s">
        <v>3178</v>
      </c>
      <c r="F167" s="2" t="s">
        <v>223</v>
      </c>
      <c r="G167" s="2" t="s">
        <v>3179</v>
      </c>
      <c r="H167" s="2" t="s">
        <v>899</v>
      </c>
      <c r="I167" s="2" t="s">
        <v>3180</v>
      </c>
      <c r="J167" s="2" t="s">
        <v>447</v>
      </c>
      <c r="K167" s="2" t="s">
        <v>3181</v>
      </c>
      <c r="L167" s="2" t="s">
        <v>246</v>
      </c>
      <c r="M167" s="2" t="s">
        <v>490</v>
      </c>
      <c r="N167" s="2" t="s">
        <v>3182</v>
      </c>
      <c r="O167" s="2" t="s">
        <v>3183</v>
      </c>
      <c r="P167" s="2" t="s">
        <v>3184</v>
      </c>
      <c r="Q167" s="2" t="s">
        <v>3185</v>
      </c>
      <c r="R167" s="2" t="s">
        <v>3186</v>
      </c>
      <c r="S167" s="2" t="s">
        <v>50</v>
      </c>
      <c r="T167" s="2" t="s">
        <v>3187</v>
      </c>
      <c r="U167" s="2" t="s">
        <v>3188</v>
      </c>
      <c r="V167" s="2"/>
      <c r="W167" s="2" t="s">
        <v>3189</v>
      </c>
      <c r="X167" s="2" t="s">
        <v>3190</v>
      </c>
      <c r="Y167" s="2" t="s">
        <v>3191</v>
      </c>
      <c r="Z167" s="2" t="s">
        <v>3192</v>
      </c>
      <c r="AA167" s="2"/>
      <c r="AB167" s="2"/>
      <c r="AC167" s="2" t="s">
        <v>3193</v>
      </c>
      <c r="AD167" s="2"/>
      <c r="AE167" s="2" t="s">
        <v>58</v>
      </c>
      <c r="AF167" s="2"/>
      <c r="AG167" s="3" t="str">
        <f aca="false">IF(A167="","",IF(COUNTA(O167:R167)&lt;4,"Needs 4 options",IF(ISERROR(FIND(UPPER(S167),"ABCD"))+(LEN(S167)&lt;&gt;1),"Answer must be A-D",IF(OR(D167&lt;1,D167&gt;3),"Difficulty must be 1-3",IF(OR(N167="",T167=""),"Missing question or explanation",IF(COUNTBLANK(U167:X167)&lt;&gt;1,"Need 3 why-not texts",IF(INDEX(U167:X167,1,FIND(UPPER(S167),"ABCD"))&lt;&gt;"","Why-not filled for the answer",IF(AND(B167&lt;&gt;"live",B167&lt;&gt;"draft",B167&lt;&gt;"retired"),"Status must be live/draft/retired","OK"))))))))</f>
        <v>OK</v>
      </c>
    </row>
    <row r="168" customFormat="false" ht="68.65" hidden="false" customHeight="false" outlineLevel="0" collapsed="false">
      <c r="A168" s="2" t="s">
        <v>3194</v>
      </c>
      <c r="B168" s="2" t="s">
        <v>34</v>
      </c>
      <c r="C168" s="2" t="s">
        <v>442</v>
      </c>
      <c r="D168" s="2" t="n">
        <v>3</v>
      </c>
      <c r="E168" s="2" t="s">
        <v>3195</v>
      </c>
      <c r="F168" s="2" t="s">
        <v>223</v>
      </c>
      <c r="G168" s="2" t="s">
        <v>3196</v>
      </c>
      <c r="H168" s="2" t="s">
        <v>3197</v>
      </c>
      <c r="I168" s="2" t="s">
        <v>3198</v>
      </c>
      <c r="J168" s="2" t="s">
        <v>549</v>
      </c>
      <c r="K168" s="2" t="s">
        <v>3199</v>
      </c>
      <c r="L168" s="2" t="s">
        <v>1579</v>
      </c>
      <c r="M168" s="2" t="s">
        <v>3200</v>
      </c>
      <c r="N168" s="2" t="s">
        <v>3201</v>
      </c>
      <c r="O168" s="2" t="s">
        <v>3202</v>
      </c>
      <c r="P168" s="2" t="s">
        <v>3203</v>
      </c>
      <c r="Q168" s="2" t="s">
        <v>3204</v>
      </c>
      <c r="R168" s="2" t="s">
        <v>3205</v>
      </c>
      <c r="S168" s="2" t="s">
        <v>50</v>
      </c>
      <c r="T168" s="2" t="s">
        <v>3206</v>
      </c>
      <c r="U168" s="2" t="s">
        <v>3207</v>
      </c>
      <c r="V168" s="2"/>
      <c r="W168" s="2" t="s">
        <v>3208</v>
      </c>
      <c r="X168" s="2" t="s">
        <v>3209</v>
      </c>
      <c r="Y168" s="2" t="s">
        <v>3210</v>
      </c>
      <c r="Z168" s="2" t="s">
        <v>3211</v>
      </c>
      <c r="AA168" s="2"/>
      <c r="AB168" s="2"/>
      <c r="AC168" s="2" t="s">
        <v>3212</v>
      </c>
      <c r="AD168" s="2"/>
      <c r="AE168" s="2" t="s">
        <v>58</v>
      </c>
      <c r="AF168" s="2"/>
      <c r="AG168" s="3" t="str">
        <f aca="false">IF(A168="","",IF(COUNTA(O168:R168)&lt;4,"Needs 4 options",IF(ISERROR(FIND(UPPER(S168),"ABCD"))+(LEN(S168)&lt;&gt;1),"Answer must be A-D",IF(OR(D168&lt;1,D168&gt;3),"Difficulty must be 1-3",IF(OR(N168="",T168=""),"Missing question or explanation",IF(COUNTBLANK(U168:X168)&lt;&gt;1,"Need 3 why-not texts",IF(INDEX(U168:X168,1,FIND(UPPER(S168),"ABCD"))&lt;&gt;"","Why-not filled for the answer",IF(AND(B168&lt;&gt;"live",B168&lt;&gt;"draft",B168&lt;&gt;"retired"),"Status must be live/draft/retired","OK"))))))))</f>
        <v>OK</v>
      </c>
    </row>
    <row r="169" customFormat="false" ht="46.25" hidden="false" customHeight="false" outlineLevel="0" collapsed="false">
      <c r="A169" s="2" t="s">
        <v>3213</v>
      </c>
      <c r="B169" s="2" t="s">
        <v>34</v>
      </c>
      <c r="C169" s="2" t="s">
        <v>442</v>
      </c>
      <c r="D169" s="2" t="n">
        <v>3</v>
      </c>
      <c r="E169" s="2" t="s">
        <v>3214</v>
      </c>
      <c r="F169" s="2" t="s">
        <v>37</v>
      </c>
      <c r="G169" s="2" t="s">
        <v>3215</v>
      </c>
      <c r="H169" s="2" t="s">
        <v>687</v>
      </c>
      <c r="I169" s="2" t="s">
        <v>3216</v>
      </c>
      <c r="J169" s="2" t="s">
        <v>549</v>
      </c>
      <c r="K169" s="2" t="s">
        <v>3217</v>
      </c>
      <c r="L169" s="2" t="s">
        <v>3218</v>
      </c>
      <c r="M169" s="2" t="s">
        <v>3219</v>
      </c>
      <c r="N169" s="2" t="s">
        <v>3220</v>
      </c>
      <c r="O169" s="2" t="s">
        <v>3221</v>
      </c>
      <c r="P169" s="2" t="s">
        <v>3222</v>
      </c>
      <c r="Q169" s="2" t="s">
        <v>3223</v>
      </c>
      <c r="R169" s="2" t="s">
        <v>3224</v>
      </c>
      <c r="S169" s="2" t="s">
        <v>50</v>
      </c>
      <c r="T169" s="2" t="s">
        <v>3225</v>
      </c>
      <c r="U169" s="2" t="s">
        <v>3226</v>
      </c>
      <c r="V169" s="2"/>
      <c r="W169" s="2" t="s">
        <v>3227</v>
      </c>
      <c r="X169" s="2" t="s">
        <v>3228</v>
      </c>
      <c r="Y169" s="2" t="s">
        <v>3229</v>
      </c>
      <c r="Z169" s="2" t="s">
        <v>3230</v>
      </c>
      <c r="AA169" s="2"/>
      <c r="AB169" s="2"/>
      <c r="AC169" s="2" t="s">
        <v>3231</v>
      </c>
      <c r="AD169" s="2"/>
      <c r="AE169" s="2" t="s">
        <v>58</v>
      </c>
      <c r="AF169" s="2"/>
      <c r="AG169" s="3" t="str">
        <f aca="false">IF(A169="","",IF(COUNTA(O169:R169)&lt;4,"Needs 4 options",IF(ISERROR(FIND(UPPER(S169),"ABCD"))+(LEN(S169)&lt;&gt;1),"Answer must be A-D",IF(OR(D169&lt;1,D169&gt;3),"Difficulty must be 1-3",IF(OR(N169="",T169=""),"Missing question or explanation",IF(COUNTBLANK(U169:X169)&lt;&gt;1,"Need 3 why-not texts",IF(INDEX(U169:X169,1,FIND(UPPER(S169),"ABCD"))&lt;&gt;"","Why-not filled for the answer",IF(AND(B169&lt;&gt;"live",B169&lt;&gt;"draft",B169&lt;&gt;"retired"),"Status must be live/draft/retired","OK"))))))))</f>
        <v>OK</v>
      </c>
    </row>
    <row r="170" customFormat="false" ht="57.45" hidden="false" customHeight="false" outlineLevel="0" collapsed="false">
      <c r="A170" s="2" t="s">
        <v>3232</v>
      </c>
      <c r="B170" s="2" t="s">
        <v>34</v>
      </c>
      <c r="C170" s="2" t="s">
        <v>442</v>
      </c>
      <c r="D170" s="2" t="n">
        <v>3</v>
      </c>
      <c r="E170" s="2" t="s">
        <v>3233</v>
      </c>
      <c r="F170" s="2" t="s">
        <v>37</v>
      </c>
      <c r="G170" s="2" t="s">
        <v>3234</v>
      </c>
      <c r="H170" s="2" t="s">
        <v>3235</v>
      </c>
      <c r="I170" s="2" t="s">
        <v>3236</v>
      </c>
      <c r="J170" s="2" t="s">
        <v>3237</v>
      </c>
      <c r="K170" s="2" t="s">
        <v>3238</v>
      </c>
      <c r="L170" s="2" t="s">
        <v>549</v>
      </c>
      <c r="M170" s="2" t="s">
        <v>3239</v>
      </c>
      <c r="N170" s="2" t="s">
        <v>3240</v>
      </c>
      <c r="O170" s="2" t="s">
        <v>3241</v>
      </c>
      <c r="P170" s="2" t="s">
        <v>3242</v>
      </c>
      <c r="Q170" s="2" t="s">
        <v>3243</v>
      </c>
      <c r="R170" s="2" t="s">
        <v>3244</v>
      </c>
      <c r="S170" s="2" t="s">
        <v>50</v>
      </c>
      <c r="T170" s="2" t="s">
        <v>3245</v>
      </c>
      <c r="U170" s="2" t="s">
        <v>3246</v>
      </c>
      <c r="V170" s="2"/>
      <c r="W170" s="2" t="s">
        <v>3247</v>
      </c>
      <c r="X170" s="2" t="s">
        <v>3248</v>
      </c>
      <c r="Y170" s="2" t="s">
        <v>3249</v>
      </c>
      <c r="Z170" s="2" t="s">
        <v>3250</v>
      </c>
      <c r="AA170" s="2"/>
      <c r="AB170" s="2"/>
      <c r="AC170" s="2" t="s">
        <v>3251</v>
      </c>
      <c r="AD170" s="2"/>
      <c r="AE170" s="2" t="s">
        <v>58</v>
      </c>
      <c r="AF170" s="2"/>
      <c r="AG170" s="3" t="str">
        <f aca="false">IF(A170="","",IF(COUNTA(O170:R170)&lt;4,"Needs 4 options",IF(ISERROR(FIND(UPPER(S170),"ABCD"))+(LEN(S170)&lt;&gt;1),"Answer must be A-D",IF(OR(D170&lt;1,D170&gt;3),"Difficulty must be 1-3",IF(OR(N170="",T170=""),"Missing question or explanation",IF(COUNTBLANK(U170:X170)&lt;&gt;1,"Need 3 why-not texts",IF(INDEX(U170:X170,1,FIND(UPPER(S170),"ABCD"))&lt;&gt;"","Why-not filled for the answer",IF(AND(B170&lt;&gt;"live",B170&lt;&gt;"draft",B170&lt;&gt;"retired"),"Status must be live/draft/retired","OK"))))))))</f>
        <v>OK</v>
      </c>
    </row>
    <row r="171" customFormat="false" ht="46.25" hidden="false" customHeight="false" outlineLevel="0" collapsed="false">
      <c r="A171" s="2" t="s">
        <v>3252</v>
      </c>
      <c r="B171" s="2" t="s">
        <v>34</v>
      </c>
      <c r="C171" s="2" t="s">
        <v>442</v>
      </c>
      <c r="D171" s="2" t="n">
        <v>3</v>
      </c>
      <c r="E171" s="2" t="s">
        <v>3253</v>
      </c>
      <c r="F171" s="2" t="s">
        <v>37</v>
      </c>
      <c r="G171" s="2" t="s">
        <v>3254</v>
      </c>
      <c r="H171" s="2" t="s">
        <v>3255</v>
      </c>
      <c r="I171" s="2" t="s">
        <v>3256</v>
      </c>
      <c r="J171" s="2" t="s">
        <v>2149</v>
      </c>
      <c r="K171" s="2" t="s">
        <v>3257</v>
      </c>
      <c r="L171" s="2" t="s">
        <v>549</v>
      </c>
      <c r="M171" s="2" t="s">
        <v>3258</v>
      </c>
      <c r="N171" s="2" t="s">
        <v>3259</v>
      </c>
      <c r="O171" s="2" t="s">
        <v>3260</v>
      </c>
      <c r="P171" s="2" t="s">
        <v>3261</v>
      </c>
      <c r="Q171" s="2" t="s">
        <v>3262</v>
      </c>
      <c r="R171" s="2" t="s">
        <v>3263</v>
      </c>
      <c r="S171" s="2" t="s">
        <v>50</v>
      </c>
      <c r="T171" s="2" t="s">
        <v>3264</v>
      </c>
      <c r="U171" s="2" t="s">
        <v>3265</v>
      </c>
      <c r="V171" s="2"/>
      <c r="W171" s="2" t="s">
        <v>3266</v>
      </c>
      <c r="X171" s="2" t="s">
        <v>3267</v>
      </c>
      <c r="Y171" s="2" t="s">
        <v>3268</v>
      </c>
      <c r="Z171" s="2" t="s">
        <v>3269</v>
      </c>
      <c r="AA171" s="2"/>
      <c r="AB171" s="2"/>
      <c r="AC171" s="2" t="s">
        <v>3270</v>
      </c>
      <c r="AD171" s="2"/>
      <c r="AE171" s="2" t="s">
        <v>58</v>
      </c>
      <c r="AF171" s="2"/>
      <c r="AG171" s="3" t="str">
        <f aca="false">IF(A171="","",IF(COUNTA(O171:R171)&lt;4,"Needs 4 options",IF(ISERROR(FIND(UPPER(S171),"ABCD"))+(LEN(S171)&lt;&gt;1),"Answer must be A-D",IF(OR(D171&lt;1,D171&gt;3),"Difficulty must be 1-3",IF(OR(N171="",T171=""),"Missing question or explanation",IF(COUNTBLANK(U171:X171)&lt;&gt;1,"Need 3 why-not texts",IF(INDEX(U171:X171,1,FIND(UPPER(S171),"ABCD"))&lt;&gt;"","Why-not filled for the answer",IF(AND(B171&lt;&gt;"live",B171&lt;&gt;"draft",B171&lt;&gt;"retired"),"Status must be live/draft/retired","OK"))))))))</f>
        <v>OK</v>
      </c>
    </row>
    <row r="172" customFormat="false" ht="35.05" hidden="false" customHeight="false" outlineLevel="0" collapsed="false">
      <c r="A172" s="2" t="s">
        <v>3271</v>
      </c>
      <c r="B172" s="2" t="s">
        <v>34</v>
      </c>
      <c r="C172" s="2" t="s">
        <v>442</v>
      </c>
      <c r="D172" s="2" t="n">
        <v>3</v>
      </c>
      <c r="E172" s="2" t="s">
        <v>3272</v>
      </c>
      <c r="F172" s="2" t="s">
        <v>37</v>
      </c>
      <c r="G172" s="2" t="s">
        <v>3273</v>
      </c>
      <c r="H172" s="2" t="s">
        <v>3274</v>
      </c>
      <c r="I172" s="2" t="s">
        <v>3275</v>
      </c>
      <c r="J172" s="2" t="s">
        <v>2149</v>
      </c>
      <c r="K172" s="2" t="s">
        <v>3276</v>
      </c>
      <c r="L172" s="2" t="s">
        <v>549</v>
      </c>
      <c r="M172" s="2" t="s">
        <v>3277</v>
      </c>
      <c r="N172" s="2" t="s">
        <v>3278</v>
      </c>
      <c r="O172" s="2" t="s">
        <v>3279</v>
      </c>
      <c r="P172" s="2" t="s">
        <v>3280</v>
      </c>
      <c r="Q172" s="2" t="s">
        <v>3281</v>
      </c>
      <c r="R172" s="2" t="s">
        <v>3282</v>
      </c>
      <c r="S172" s="2" t="s">
        <v>50</v>
      </c>
      <c r="T172" s="2" t="s">
        <v>3283</v>
      </c>
      <c r="U172" s="2" t="s">
        <v>3265</v>
      </c>
      <c r="V172" s="2"/>
      <c r="W172" s="2" t="s">
        <v>3284</v>
      </c>
      <c r="X172" s="2" t="s">
        <v>3285</v>
      </c>
      <c r="Y172" s="2" t="s">
        <v>3286</v>
      </c>
      <c r="Z172" s="2" t="s">
        <v>3287</v>
      </c>
      <c r="AA172" s="2"/>
      <c r="AB172" s="2"/>
      <c r="AC172" s="2" t="s">
        <v>3288</v>
      </c>
      <c r="AD172" s="2"/>
      <c r="AE172" s="2" t="s">
        <v>58</v>
      </c>
      <c r="AF172" s="2"/>
      <c r="AG172" s="3" t="str">
        <f aca="false">IF(A172="","",IF(COUNTA(O172:R172)&lt;4,"Needs 4 options",IF(ISERROR(FIND(UPPER(S172),"ABCD"))+(LEN(S172)&lt;&gt;1),"Answer must be A-D",IF(OR(D172&lt;1,D172&gt;3),"Difficulty must be 1-3",IF(OR(N172="",T172=""),"Missing question or explanation",IF(COUNTBLANK(U172:X172)&lt;&gt;1,"Need 3 why-not texts",IF(INDEX(U172:X172,1,FIND(UPPER(S172),"ABCD"))&lt;&gt;"","Why-not filled for the answer",IF(AND(B172&lt;&gt;"live",B172&lt;&gt;"draft",B172&lt;&gt;"retired"),"Status must be live/draft/retired","OK"))))))))</f>
        <v>OK</v>
      </c>
    </row>
    <row r="173" customFormat="false" ht="35.05" hidden="false" customHeight="false" outlineLevel="0" collapsed="false">
      <c r="A173" s="2" t="s">
        <v>3289</v>
      </c>
      <c r="B173" s="2" t="s">
        <v>34</v>
      </c>
      <c r="C173" s="2" t="s">
        <v>442</v>
      </c>
      <c r="D173" s="2" t="n">
        <v>2</v>
      </c>
      <c r="E173" s="2" t="s">
        <v>3290</v>
      </c>
      <c r="F173" s="2" t="s">
        <v>37</v>
      </c>
      <c r="G173" s="2" t="s">
        <v>3291</v>
      </c>
      <c r="H173" s="2" t="s">
        <v>3274</v>
      </c>
      <c r="I173" s="2" t="s">
        <v>3292</v>
      </c>
      <c r="J173" s="2" t="s">
        <v>103</v>
      </c>
      <c r="K173" s="2" t="s">
        <v>3293</v>
      </c>
      <c r="L173" s="2" t="s">
        <v>549</v>
      </c>
      <c r="M173" s="2" t="s">
        <v>3294</v>
      </c>
      <c r="N173" s="2" t="s">
        <v>3295</v>
      </c>
      <c r="O173" s="2" t="s">
        <v>3296</v>
      </c>
      <c r="P173" s="2" t="s">
        <v>3297</v>
      </c>
      <c r="Q173" s="2" t="s">
        <v>3298</v>
      </c>
      <c r="R173" s="2" t="s">
        <v>3299</v>
      </c>
      <c r="S173" s="2" t="s">
        <v>50</v>
      </c>
      <c r="T173" s="2" t="s">
        <v>3300</v>
      </c>
      <c r="U173" s="2" t="s">
        <v>3301</v>
      </c>
      <c r="V173" s="2"/>
      <c r="W173" s="2" t="s">
        <v>3302</v>
      </c>
      <c r="X173" s="2" t="s">
        <v>3303</v>
      </c>
      <c r="Y173" s="2" t="s">
        <v>3304</v>
      </c>
      <c r="Z173" s="2" t="s">
        <v>3305</v>
      </c>
      <c r="AA173" s="2"/>
      <c r="AB173" s="2"/>
      <c r="AC173" s="2" t="s">
        <v>3306</v>
      </c>
      <c r="AD173" s="2"/>
      <c r="AE173" s="2" t="s">
        <v>58</v>
      </c>
      <c r="AF173" s="2"/>
      <c r="AG173" s="3" t="str">
        <f aca="false">IF(A173="","",IF(COUNTA(O173:R173)&lt;4,"Needs 4 options",IF(ISERROR(FIND(UPPER(S173),"ABCD"))+(LEN(S173)&lt;&gt;1),"Answer must be A-D",IF(OR(D173&lt;1,D173&gt;3),"Difficulty must be 1-3",IF(OR(N173="",T173=""),"Missing question or explanation",IF(COUNTBLANK(U173:X173)&lt;&gt;1,"Need 3 why-not texts",IF(INDEX(U173:X173,1,FIND(UPPER(S173),"ABCD"))&lt;&gt;"","Why-not filled for the answer",IF(AND(B173&lt;&gt;"live",B173&lt;&gt;"draft",B173&lt;&gt;"retired"),"Status must be live/draft/retired","OK"))))))))</f>
        <v>OK</v>
      </c>
    </row>
    <row r="174" customFormat="false" ht="46.25" hidden="false" customHeight="false" outlineLevel="0" collapsed="false">
      <c r="A174" s="2" t="s">
        <v>3307</v>
      </c>
      <c r="B174" s="2" t="s">
        <v>34</v>
      </c>
      <c r="C174" s="2" t="s">
        <v>442</v>
      </c>
      <c r="D174" s="2" t="n">
        <v>2</v>
      </c>
      <c r="E174" s="2" t="s">
        <v>3308</v>
      </c>
      <c r="F174" s="2" t="s">
        <v>37</v>
      </c>
      <c r="G174" s="2" t="s">
        <v>3309</v>
      </c>
      <c r="H174" s="2" t="s">
        <v>3310</v>
      </c>
      <c r="I174" s="2" t="s">
        <v>3311</v>
      </c>
      <c r="J174" s="2" t="s">
        <v>3312</v>
      </c>
      <c r="K174" s="2" t="s">
        <v>631</v>
      </c>
      <c r="L174" s="2" t="s">
        <v>549</v>
      </c>
      <c r="M174" s="2" t="s">
        <v>3313</v>
      </c>
      <c r="N174" s="2" t="s">
        <v>3314</v>
      </c>
      <c r="O174" s="2" t="s">
        <v>3315</v>
      </c>
      <c r="P174" s="2" t="s">
        <v>3316</v>
      </c>
      <c r="Q174" s="2" t="s">
        <v>3317</v>
      </c>
      <c r="R174" s="2" t="s">
        <v>3318</v>
      </c>
      <c r="S174" s="2" t="s">
        <v>50</v>
      </c>
      <c r="T174" s="2" t="s">
        <v>3319</v>
      </c>
      <c r="U174" s="2" t="s">
        <v>3320</v>
      </c>
      <c r="V174" s="2"/>
      <c r="W174" s="2" t="s">
        <v>3321</v>
      </c>
      <c r="X174" s="2" t="s">
        <v>3322</v>
      </c>
      <c r="Y174" s="2" t="s">
        <v>3323</v>
      </c>
      <c r="Z174" s="2" t="s">
        <v>3324</v>
      </c>
      <c r="AA174" s="2"/>
      <c r="AB174" s="2"/>
      <c r="AC174" s="2" t="s">
        <v>3325</v>
      </c>
      <c r="AD174" s="2"/>
      <c r="AE174" s="2" t="s">
        <v>58</v>
      </c>
      <c r="AF174" s="2"/>
      <c r="AG174" s="3" t="str">
        <f aca="false">IF(A174="","",IF(COUNTA(O174:R174)&lt;4,"Needs 4 options",IF(ISERROR(FIND(UPPER(S174),"ABCD"))+(LEN(S174)&lt;&gt;1),"Answer must be A-D",IF(OR(D174&lt;1,D174&gt;3),"Difficulty must be 1-3",IF(OR(N174="",T174=""),"Missing question or explanation",IF(COUNTBLANK(U174:X174)&lt;&gt;1,"Need 3 why-not texts",IF(INDEX(U174:X174,1,FIND(UPPER(S174),"ABCD"))&lt;&gt;"","Why-not filled for the answer",IF(AND(B174&lt;&gt;"live",B174&lt;&gt;"draft",B174&lt;&gt;"retired"),"Status must be live/draft/retired","OK"))))))))</f>
        <v>OK</v>
      </c>
    </row>
    <row r="175" customFormat="false" ht="35.05" hidden="false" customHeight="false" outlineLevel="0" collapsed="false">
      <c r="A175" s="2" t="s">
        <v>3326</v>
      </c>
      <c r="B175" s="2" t="s">
        <v>34</v>
      </c>
      <c r="C175" s="2" t="s">
        <v>442</v>
      </c>
      <c r="D175" s="2" t="n">
        <v>1</v>
      </c>
      <c r="E175" s="2" t="s">
        <v>3327</v>
      </c>
      <c r="F175" s="2" t="s">
        <v>223</v>
      </c>
      <c r="G175" s="2" t="s">
        <v>3328</v>
      </c>
      <c r="H175" s="2" t="s">
        <v>160</v>
      </c>
      <c r="I175" s="2" t="s">
        <v>3329</v>
      </c>
      <c r="J175" s="2" t="s">
        <v>549</v>
      </c>
      <c r="K175" s="2" t="s">
        <v>3330</v>
      </c>
      <c r="L175" s="2" t="s">
        <v>529</v>
      </c>
      <c r="M175" s="2" t="s">
        <v>3331</v>
      </c>
      <c r="N175" s="2" t="s">
        <v>1832</v>
      </c>
      <c r="O175" s="2" t="s">
        <v>3332</v>
      </c>
      <c r="P175" s="2" t="s">
        <v>3333</v>
      </c>
      <c r="Q175" s="2" t="s">
        <v>3334</v>
      </c>
      <c r="R175" s="2" t="s">
        <v>3335</v>
      </c>
      <c r="S175" s="2" t="s">
        <v>50</v>
      </c>
      <c r="T175" s="2" t="s">
        <v>3336</v>
      </c>
      <c r="U175" s="2" t="s">
        <v>3337</v>
      </c>
      <c r="V175" s="2"/>
      <c r="W175" s="2" t="s">
        <v>3338</v>
      </c>
      <c r="X175" s="2" t="s">
        <v>3339</v>
      </c>
      <c r="Y175" s="2" t="s">
        <v>3340</v>
      </c>
      <c r="Z175" s="2" t="s">
        <v>3341</v>
      </c>
      <c r="AA175" s="2"/>
      <c r="AB175" s="2"/>
      <c r="AC175" s="2" t="s">
        <v>3342</v>
      </c>
      <c r="AD175" s="2"/>
      <c r="AE175" s="2" t="s">
        <v>58</v>
      </c>
      <c r="AF175" s="2"/>
      <c r="AG175" s="3" t="str">
        <f aca="false">IF(A175="","",IF(COUNTA(O175:R175)&lt;4,"Needs 4 options",IF(ISERROR(FIND(UPPER(S175),"ABCD"))+(LEN(S175)&lt;&gt;1),"Answer must be A-D",IF(OR(D175&lt;1,D175&gt;3),"Difficulty must be 1-3",IF(OR(N175="",T175=""),"Missing question or explanation",IF(COUNTBLANK(U175:X175)&lt;&gt;1,"Need 3 why-not texts",IF(INDEX(U175:X175,1,FIND(UPPER(S175),"ABCD"))&lt;&gt;"","Why-not filled for the answer",IF(AND(B175&lt;&gt;"live",B175&lt;&gt;"draft",B175&lt;&gt;"retired"),"Status must be live/draft/retired","OK"))))))))</f>
        <v>OK</v>
      </c>
    </row>
    <row r="176" customFormat="false" ht="68.65" hidden="false" customHeight="false" outlineLevel="0" collapsed="false">
      <c r="A176" s="2" t="s">
        <v>3343</v>
      </c>
      <c r="B176" s="2" t="s">
        <v>34</v>
      </c>
      <c r="C176" s="2" t="s">
        <v>442</v>
      </c>
      <c r="D176" s="2" t="n">
        <v>2</v>
      </c>
      <c r="E176" s="2" t="s">
        <v>3344</v>
      </c>
      <c r="F176" s="2" t="s">
        <v>37</v>
      </c>
      <c r="G176" s="2" t="s">
        <v>3345</v>
      </c>
      <c r="H176" s="2" t="s">
        <v>3346</v>
      </c>
      <c r="I176" s="2" t="s">
        <v>3347</v>
      </c>
      <c r="J176" s="2" t="s">
        <v>103</v>
      </c>
      <c r="K176" s="2" t="s">
        <v>3348</v>
      </c>
      <c r="L176" s="2" t="s">
        <v>246</v>
      </c>
      <c r="M176" s="2" t="s">
        <v>490</v>
      </c>
      <c r="N176" s="2" t="s">
        <v>3349</v>
      </c>
      <c r="O176" s="2" t="s">
        <v>3350</v>
      </c>
      <c r="P176" s="2" t="s">
        <v>3351</v>
      </c>
      <c r="Q176" s="2" t="s">
        <v>3352</v>
      </c>
      <c r="R176" s="2" t="s">
        <v>3185</v>
      </c>
      <c r="S176" s="2" t="s">
        <v>50</v>
      </c>
      <c r="T176" s="2" t="s">
        <v>3353</v>
      </c>
      <c r="U176" s="2" t="s">
        <v>3354</v>
      </c>
      <c r="V176" s="2"/>
      <c r="W176" s="2" t="s">
        <v>3355</v>
      </c>
      <c r="X176" s="2" t="s">
        <v>3189</v>
      </c>
      <c r="Y176" s="2" t="s">
        <v>3356</v>
      </c>
      <c r="Z176" s="2" t="s">
        <v>3357</v>
      </c>
      <c r="AA176" s="2"/>
      <c r="AB176" s="2"/>
      <c r="AC176" s="2" t="s">
        <v>3358</v>
      </c>
      <c r="AD176" s="2"/>
      <c r="AE176" s="2" t="s">
        <v>58</v>
      </c>
      <c r="AF176" s="2"/>
      <c r="AG176" s="3" t="str">
        <f aca="false">IF(A176="","",IF(COUNTA(O176:R176)&lt;4,"Needs 4 options",IF(ISERROR(FIND(UPPER(S176),"ABCD"))+(LEN(S176)&lt;&gt;1),"Answer must be A-D",IF(OR(D176&lt;1,D176&gt;3),"Difficulty must be 1-3",IF(OR(N176="",T176=""),"Missing question or explanation",IF(COUNTBLANK(U176:X176)&lt;&gt;1,"Need 3 why-not texts",IF(INDEX(U176:X176,1,FIND(UPPER(S176),"ABCD"))&lt;&gt;"","Why-not filled for the answer",IF(AND(B176&lt;&gt;"live",B176&lt;&gt;"draft",B176&lt;&gt;"retired"),"Status must be live/draft/retired","OK"))))))))</f>
        <v>OK</v>
      </c>
    </row>
  </sheetData>
  <autoFilter ref="A1:AG176"/>
  <conditionalFormatting sqref="AG2:AG3000">
    <cfRule type="expression" priority="2" aboveAverage="0" equalAverage="0" bottom="0" percent="0" rank="0" text="" dxfId="5">
      <formula>AND(AG2&lt;&gt;"",AG2&lt;&gt;"OK")</formula>
    </cfRule>
    <cfRule type="expression" priority="3" aboveAverage="0" equalAverage="0" bottom="0" percent="0" rank="0" text="" dxfId="6">
      <formula>AG2="OK"</formula>
    </cfRule>
  </conditionalFormatting>
  <conditionalFormatting sqref="B2:B3000">
    <cfRule type="expression" priority="4" aboveAverage="0" equalAverage="0" bottom="0" percent="0" rank="0" text="" dxfId="7">
      <formula>B2="draft"</formula>
    </cfRule>
    <cfRule type="expression" priority="5" aboveAverage="0" equalAverage="0" bottom="0" percent="0" rank="0" text="" dxfId="8">
      <formula>B2="retired"</formula>
    </cfRule>
  </conditionalFormatting>
  <dataValidations count="5">
    <dataValidation allowBlank="true" error="Choose live, draft or retired." errorStyle="stop" errorTitle="Not allowed" operator="between" showDropDown="false" showErrorMessage="true" showInputMessage="false" sqref="B2:B1176" type="list">
      <formula1>"live,draft,retired"</formula1>
      <formula2>0</formula2>
    </dataValidation>
    <dataValidation allowBlank="true" error="Choose a chapter code." errorStyle="stop" errorTitle="Not allowed" operator="between" showDropDown="false" showErrorMessage="true" showInputMessage="false" sqref="C2:C1176" type="list">
      <formula1>"II,III,IV,V,VI,FEE,SW,GS"</formula1>
      <formula2>0</formula2>
    </dataValidation>
    <dataValidation allowBlank="true" error="Choose 1, 2 or 3." errorStyle="stop" errorTitle="Not allowed" operator="between" showDropDown="false" showErrorMessage="true" showInputMessage="false" sqref="D2:D1176" type="list">
      <formula1>"1,2,3"</formula1>
      <formula2>0</formula2>
    </dataValidation>
    <dataValidation allowBlank="true" error="Choose A, B, C or D." errorStyle="stop" errorTitle="Not allowed" operator="between" showDropDown="false" showErrorMessage="true" showInputMessage="false" sqref="S2:S1176" type="list">
      <formula1>"A,B,C,D"</formula1>
      <formula2>0</formula2>
    </dataValidation>
    <dataValidation allowBlank="true" error="Y or leave blank." errorStyle="stop" errorTitle="Not allowed" operator="between" showDropDown="false" showErrorMessage="true" showInputMessage="false" sqref="AD2:AD1176" type="list">
      <formula1>"Y"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5"/>
  </cols>
  <sheetData>
    <row r="2" customFormat="false" ht="19.7" hidden="false" customHeight="false" outlineLevel="0" collapsed="false">
      <c r="B2" s="4" t="s">
        <v>3359</v>
      </c>
    </row>
    <row r="3" customFormat="false" ht="15" hidden="false" customHeight="false" outlineLevel="0" collapsed="false">
      <c r="B3" s="5" t="s">
        <v>3360</v>
      </c>
    </row>
    <row r="5" customFormat="false" ht="15" hidden="false" customHeight="false" outlineLevel="0" collapsed="false">
      <c r="B5" s="6" t="s">
        <v>3361</v>
      </c>
      <c r="C5" s="6" t="s">
        <v>3362</v>
      </c>
    </row>
    <row r="6" customFormat="false" ht="15" hidden="false" customHeight="false" outlineLevel="0" collapsed="false">
      <c r="B6" s="7" t="s">
        <v>3363</v>
      </c>
      <c r="C6" s="8" t="s">
        <v>3364</v>
      </c>
    </row>
    <row r="7" customFormat="false" ht="15" hidden="false" customHeight="false" outlineLevel="0" collapsed="false">
      <c r="B7" s="7" t="s">
        <v>3365</v>
      </c>
      <c r="C7" s="8" t="s">
        <v>3366</v>
      </c>
    </row>
    <row r="8" customFormat="false" ht="26.85" hidden="false" customHeight="false" outlineLevel="0" collapsed="false">
      <c r="B8" s="7" t="s">
        <v>3367</v>
      </c>
      <c r="C8" s="8" t="s">
        <v>3368</v>
      </c>
    </row>
    <row r="9" customFormat="false" ht="15" hidden="false" customHeight="false" outlineLevel="0" collapsed="false">
      <c r="B9" s="7" t="s">
        <v>3369</v>
      </c>
      <c r="C9" s="8" t="s">
        <v>3370</v>
      </c>
    </row>
    <row r="10" customFormat="false" ht="26.85" hidden="false" customHeight="false" outlineLevel="0" collapsed="false">
      <c r="B10" s="7" t="s">
        <v>3371</v>
      </c>
      <c r="C10" s="8" t="s">
        <v>3372</v>
      </c>
    </row>
    <row r="11" customFormat="false" ht="26.85" hidden="false" customHeight="false" outlineLevel="0" collapsed="false">
      <c r="B11" s="7" t="s">
        <v>3373</v>
      </c>
      <c r="C11" s="8" t="s">
        <v>3374</v>
      </c>
    </row>
    <row r="12" customFormat="false" ht="26.85" hidden="false" customHeight="false" outlineLevel="0" collapsed="false">
      <c r="B12" s="7" t="s">
        <v>3375</v>
      </c>
      <c r="C12" s="8" t="s">
        <v>3376</v>
      </c>
    </row>
    <row r="13" customFormat="false" ht="26.85" hidden="false" customHeight="false" outlineLevel="0" collapsed="false">
      <c r="B13" s="7" t="s">
        <v>3377</v>
      </c>
      <c r="C13" s="8" t="s">
        <v>3378</v>
      </c>
    </row>
    <row r="14" customFormat="false" ht="15" hidden="false" customHeight="false" outlineLevel="0" collapsed="false">
      <c r="B14" s="7" t="s">
        <v>3379</v>
      </c>
      <c r="C14" s="8" t="s">
        <v>3380</v>
      </c>
    </row>
    <row r="16" customFormat="false" ht="15" hidden="false" customHeight="false" outlineLevel="0" collapsed="false">
      <c r="B16" s="6" t="s">
        <v>3381</v>
      </c>
      <c r="C16" s="6" t="s">
        <v>3382</v>
      </c>
    </row>
    <row r="17" customFormat="false" ht="15" hidden="false" customHeight="false" outlineLevel="0" collapsed="false">
      <c r="B17" s="9" t="s">
        <v>0</v>
      </c>
      <c r="C17" s="8" t="s">
        <v>3383</v>
      </c>
    </row>
    <row r="18" customFormat="false" ht="15" hidden="false" customHeight="false" outlineLevel="0" collapsed="false">
      <c r="B18" s="9" t="s">
        <v>1</v>
      </c>
      <c r="C18" s="8" t="s">
        <v>3384</v>
      </c>
    </row>
    <row r="19" customFormat="false" ht="15" hidden="false" customHeight="false" outlineLevel="0" collapsed="false">
      <c r="B19" s="9" t="s">
        <v>2</v>
      </c>
      <c r="C19" s="8" t="s">
        <v>3385</v>
      </c>
    </row>
    <row r="20" customFormat="false" ht="15" hidden="false" customHeight="false" outlineLevel="0" collapsed="false">
      <c r="B20" s="9" t="s">
        <v>3</v>
      </c>
      <c r="C20" s="8" t="s">
        <v>3386</v>
      </c>
    </row>
    <row r="21" customFormat="false" ht="15" hidden="false" customHeight="false" outlineLevel="0" collapsed="false">
      <c r="B21" s="9" t="s">
        <v>4</v>
      </c>
      <c r="C21" s="8" t="s">
        <v>3387</v>
      </c>
    </row>
    <row r="22" customFormat="false" ht="15" hidden="false" customHeight="false" outlineLevel="0" collapsed="false">
      <c r="B22" s="9" t="s">
        <v>5</v>
      </c>
      <c r="C22" s="8" t="s">
        <v>3388</v>
      </c>
    </row>
    <row r="23" customFormat="false" ht="15" hidden="false" customHeight="false" outlineLevel="0" collapsed="false">
      <c r="B23" s="9" t="s">
        <v>6</v>
      </c>
      <c r="C23" s="8" t="s">
        <v>3389</v>
      </c>
    </row>
    <row r="24" customFormat="false" ht="15" hidden="false" customHeight="false" outlineLevel="0" collapsed="false">
      <c r="B24" s="9" t="s">
        <v>7</v>
      </c>
      <c r="C24" s="8" t="s">
        <v>3390</v>
      </c>
    </row>
    <row r="25" customFormat="false" ht="15" hidden="false" customHeight="false" outlineLevel="0" collapsed="false">
      <c r="B25" s="9" t="s">
        <v>8</v>
      </c>
      <c r="C25" s="8" t="s">
        <v>3391</v>
      </c>
    </row>
    <row r="26" customFormat="false" ht="15" hidden="false" customHeight="false" outlineLevel="0" collapsed="false">
      <c r="B26" s="9" t="s">
        <v>9</v>
      </c>
      <c r="C26" s="8" t="s">
        <v>3392</v>
      </c>
    </row>
    <row r="27" customFormat="false" ht="15" hidden="false" customHeight="false" outlineLevel="0" collapsed="false">
      <c r="B27" s="9" t="s">
        <v>10</v>
      </c>
      <c r="C27" s="8" t="s">
        <v>3393</v>
      </c>
    </row>
    <row r="28" customFormat="false" ht="15" hidden="false" customHeight="false" outlineLevel="0" collapsed="false">
      <c r="B28" s="9" t="s">
        <v>11</v>
      </c>
      <c r="C28" s="8" t="s">
        <v>3394</v>
      </c>
    </row>
    <row r="29" customFormat="false" ht="15" hidden="false" customHeight="false" outlineLevel="0" collapsed="false">
      <c r="B29" s="9" t="s">
        <v>12</v>
      </c>
      <c r="C29" s="8" t="s">
        <v>3395</v>
      </c>
    </row>
    <row r="30" customFormat="false" ht="15" hidden="false" customHeight="false" outlineLevel="0" collapsed="false">
      <c r="B30" s="9" t="s">
        <v>13</v>
      </c>
      <c r="C30" s="8" t="s">
        <v>3396</v>
      </c>
    </row>
    <row r="31" customFormat="false" ht="15" hidden="false" customHeight="false" outlineLevel="0" collapsed="false">
      <c r="B31" s="9" t="s">
        <v>14</v>
      </c>
      <c r="C31" s="8" t="s">
        <v>3397</v>
      </c>
    </row>
    <row r="32" customFormat="false" ht="15" hidden="false" customHeight="false" outlineLevel="0" collapsed="false">
      <c r="B32" s="9" t="s">
        <v>15</v>
      </c>
      <c r="C32" s="8" t="s">
        <v>3398</v>
      </c>
    </row>
    <row r="33" customFormat="false" ht="15" hidden="false" customHeight="false" outlineLevel="0" collapsed="false">
      <c r="B33" s="9" t="s">
        <v>16</v>
      </c>
      <c r="C33" s="8" t="s">
        <v>3399</v>
      </c>
    </row>
    <row r="34" customFormat="false" ht="15" hidden="false" customHeight="false" outlineLevel="0" collapsed="false">
      <c r="B34" s="9" t="s">
        <v>17</v>
      </c>
      <c r="C34" s="8" t="s">
        <v>3400</v>
      </c>
    </row>
    <row r="35" customFormat="false" ht="15" hidden="false" customHeight="false" outlineLevel="0" collapsed="false">
      <c r="B35" s="9" t="s">
        <v>18</v>
      </c>
      <c r="C35" s="8" t="s">
        <v>3401</v>
      </c>
    </row>
    <row r="36" customFormat="false" ht="15" hidden="false" customHeight="false" outlineLevel="0" collapsed="false">
      <c r="B36" s="9" t="s">
        <v>19</v>
      </c>
      <c r="C36" s="8" t="s">
        <v>3402</v>
      </c>
    </row>
    <row r="37" customFormat="false" ht="15" hidden="false" customHeight="false" outlineLevel="0" collapsed="false">
      <c r="B37" s="9" t="s">
        <v>20</v>
      </c>
      <c r="C37" s="8" t="s">
        <v>3403</v>
      </c>
    </row>
    <row r="38" customFormat="false" ht="15" hidden="false" customHeight="false" outlineLevel="0" collapsed="false">
      <c r="B38" s="9" t="s">
        <v>21</v>
      </c>
      <c r="C38" s="8" t="s">
        <v>3404</v>
      </c>
    </row>
    <row r="39" customFormat="false" ht="15" hidden="false" customHeight="false" outlineLevel="0" collapsed="false">
      <c r="B39" s="9" t="s">
        <v>22</v>
      </c>
      <c r="C39" s="8" t="s">
        <v>3405</v>
      </c>
    </row>
    <row r="40" customFormat="false" ht="15" hidden="false" customHeight="false" outlineLevel="0" collapsed="false">
      <c r="B40" s="9" t="s">
        <v>23</v>
      </c>
      <c r="C40" s="8" t="s">
        <v>3406</v>
      </c>
    </row>
    <row r="41" customFormat="false" ht="15" hidden="false" customHeight="false" outlineLevel="0" collapsed="false">
      <c r="B41" s="9" t="s">
        <v>24</v>
      </c>
      <c r="C41" s="8" t="s">
        <v>3407</v>
      </c>
    </row>
    <row r="42" customFormat="false" ht="15" hidden="false" customHeight="false" outlineLevel="0" collapsed="false">
      <c r="B42" s="9" t="s">
        <v>25</v>
      </c>
      <c r="C42" s="8" t="s">
        <v>3408</v>
      </c>
    </row>
    <row r="43" customFormat="false" ht="15" hidden="false" customHeight="false" outlineLevel="0" collapsed="false">
      <c r="B43" s="9" t="s">
        <v>26</v>
      </c>
      <c r="C43" s="8" t="s">
        <v>3409</v>
      </c>
    </row>
    <row r="44" customFormat="false" ht="15" hidden="false" customHeight="false" outlineLevel="0" collapsed="false">
      <c r="B44" s="9" t="s">
        <v>27</v>
      </c>
      <c r="C44" s="8" t="s">
        <v>3410</v>
      </c>
    </row>
    <row r="45" customFormat="false" ht="15" hidden="false" customHeight="false" outlineLevel="0" collapsed="false">
      <c r="B45" s="9" t="s">
        <v>28</v>
      </c>
      <c r="C45" s="8" t="s">
        <v>3411</v>
      </c>
    </row>
    <row r="46" customFormat="false" ht="15" hidden="false" customHeight="false" outlineLevel="0" collapsed="false">
      <c r="B46" s="9" t="s">
        <v>29</v>
      </c>
      <c r="C46" s="8" t="s">
        <v>3412</v>
      </c>
    </row>
    <row r="47" customFormat="false" ht="15" hidden="false" customHeight="false" outlineLevel="0" collapsed="false">
      <c r="B47" s="9" t="s">
        <v>30</v>
      </c>
      <c r="C47" s="8" t="s">
        <v>3413</v>
      </c>
    </row>
    <row r="48" customFormat="false" ht="15" hidden="false" customHeight="false" outlineLevel="0" collapsed="false">
      <c r="B48" s="9" t="s">
        <v>31</v>
      </c>
      <c r="C48" s="8" t="s">
        <v>3414</v>
      </c>
    </row>
    <row r="49" customFormat="false" ht="15" hidden="false" customHeight="false" outlineLevel="0" collapsed="false">
      <c r="B49" s="9" t="s">
        <v>32</v>
      </c>
      <c r="C49" s="8" t="s">
        <v>3415</v>
      </c>
    </row>
    <row r="51" customFormat="false" ht="15" hidden="false" customHeight="false" outlineLevel="0" collapsed="false">
      <c r="B51" s="10" t="s">
        <v>3416</v>
      </c>
    </row>
    <row r="52" customFormat="false" ht="15" hidden="false" customHeight="false" outlineLevel="0" collapsed="false">
      <c r="C52" s="11" t="s">
        <v>3417</v>
      </c>
    </row>
    <row r="53" customFormat="false" ht="15" hidden="false" customHeight="false" outlineLevel="0" collapsed="false">
      <c r="C53" s="11" t="s">
        <v>3418</v>
      </c>
    </row>
    <row r="54" customFormat="false" ht="15" hidden="false" customHeight="false" outlineLevel="0" collapsed="false">
      <c r="C54" s="11" t="s">
        <v>3419</v>
      </c>
    </row>
    <row r="55" customFormat="false" ht="15" hidden="false" customHeight="false" outlineLevel="0" collapsed="false">
      <c r="C55" s="11" t="s">
        <v>3420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8" min="3" style="0" width="12"/>
  </cols>
  <sheetData>
    <row r="2" customFormat="false" ht="17.35" hidden="false" customHeight="false" outlineLevel="0" collapsed="false">
      <c r="B2" s="12" t="s">
        <v>3421</v>
      </c>
    </row>
    <row r="3" customFormat="false" ht="15" hidden="false" customHeight="false" outlineLevel="0" collapsed="false">
      <c r="B3" s="5" t="s">
        <v>3422</v>
      </c>
    </row>
    <row r="5" customFormat="false" ht="15" hidden="false" customHeight="false" outlineLevel="0" collapsed="false">
      <c r="B5" s="6" t="s">
        <v>3423</v>
      </c>
      <c r="C5" s="6" t="s">
        <v>3424</v>
      </c>
      <c r="D5" s="6" t="s">
        <v>3425</v>
      </c>
      <c r="E5" s="6" t="s">
        <v>3426</v>
      </c>
      <c r="F5" s="6" t="s">
        <v>3427</v>
      </c>
      <c r="G5" s="6" t="s">
        <v>3428</v>
      </c>
      <c r="H5" s="6" t="s">
        <v>3429</v>
      </c>
    </row>
    <row r="6" customFormat="false" ht="15" hidden="false" customHeight="false" outlineLevel="0" collapsed="false">
      <c r="B6" s="13" t="s">
        <v>3430</v>
      </c>
      <c r="C6" s="13" t="n">
        <f aca="false">COUNTIFS(Questions!$C$2:$C$3000,$I6,Questions!$B$2:$B$3000,"live")</f>
        <v>58</v>
      </c>
      <c r="D6" s="13" t="n">
        <f aca="false">COUNTIFS(Questions!$C$2:$C$3000,$I6,Questions!$B$2:$B$3000,"draft")</f>
        <v>0</v>
      </c>
      <c r="E6" s="13" t="n">
        <f aca="false">COUNTIFS(Questions!$C$2:$C$3000,$I6,Questions!$B$2:$B$3000,"retired")</f>
        <v>0</v>
      </c>
      <c r="F6" s="13" t="n">
        <f aca="false">COUNTIFS(Questions!$C$2:$C$3000,$I6,Questions!$B$2:$B$3000,"live",Questions!$D$2:$D$3000,1)</f>
        <v>12</v>
      </c>
      <c r="G6" s="13" t="n">
        <f aca="false">COUNTIFS(Questions!$C$2:$C$3000,$I6,Questions!$B$2:$B$3000,"live",Questions!$D$2:$D$3000,2)</f>
        <v>29</v>
      </c>
      <c r="H6" s="13" t="n">
        <f aca="false">COUNTIFS(Questions!$C$2:$C$3000,$I6,Questions!$B$2:$B$3000,"live",Questions!$D$2:$D$3000,3)</f>
        <v>17</v>
      </c>
      <c r="I6" s="14" t="s">
        <v>35</v>
      </c>
    </row>
    <row r="7" customFormat="false" ht="15" hidden="false" customHeight="false" outlineLevel="0" collapsed="false">
      <c r="B7" s="13" t="s">
        <v>3431</v>
      </c>
      <c r="C7" s="13" t="n">
        <f aca="false">COUNTIFS(Questions!$C$2:$C$3000,$I7,Questions!$B$2:$B$3000,"live")</f>
        <v>10</v>
      </c>
      <c r="D7" s="13" t="n">
        <f aca="false">COUNTIFS(Questions!$C$2:$C$3000,$I7,Questions!$B$2:$B$3000,"draft")</f>
        <v>0</v>
      </c>
      <c r="E7" s="13" t="n">
        <f aca="false">COUNTIFS(Questions!$C$2:$C$3000,$I7,Questions!$B$2:$B$3000,"retired")</f>
        <v>0</v>
      </c>
      <c r="F7" s="13" t="n">
        <f aca="false">COUNTIFS(Questions!$C$2:$C$3000,$I7,Questions!$B$2:$B$3000,"live",Questions!$D$2:$D$3000,1)</f>
        <v>3</v>
      </c>
      <c r="G7" s="13" t="n">
        <f aca="false">COUNTIFS(Questions!$C$2:$C$3000,$I7,Questions!$B$2:$B$3000,"live",Questions!$D$2:$D$3000,2)</f>
        <v>6</v>
      </c>
      <c r="H7" s="13" t="n">
        <f aca="false">COUNTIFS(Questions!$C$2:$C$3000,$I7,Questions!$B$2:$B$3000,"live",Questions!$D$2:$D$3000,3)</f>
        <v>1</v>
      </c>
      <c r="I7" s="14" t="s">
        <v>896</v>
      </c>
    </row>
    <row r="8" customFormat="false" ht="15" hidden="false" customHeight="false" outlineLevel="0" collapsed="false">
      <c r="B8" s="13" t="s">
        <v>3432</v>
      </c>
      <c r="C8" s="13" t="n">
        <f aca="false">COUNTIFS(Questions!$C$2:$C$3000,$I8,Questions!$B$2:$B$3000,"live")</f>
        <v>30</v>
      </c>
      <c r="D8" s="13" t="n">
        <f aca="false">COUNTIFS(Questions!$C$2:$C$3000,$I8,Questions!$B$2:$B$3000,"draft")</f>
        <v>0</v>
      </c>
      <c r="E8" s="13" t="n">
        <f aca="false">COUNTIFS(Questions!$C$2:$C$3000,$I8,Questions!$B$2:$B$3000,"retired")</f>
        <v>0</v>
      </c>
      <c r="F8" s="13" t="n">
        <f aca="false">COUNTIFS(Questions!$C$2:$C$3000,$I8,Questions!$B$2:$B$3000,"live",Questions!$D$2:$D$3000,1)</f>
        <v>7</v>
      </c>
      <c r="G8" s="13" t="n">
        <f aca="false">COUNTIFS(Questions!$C$2:$C$3000,$I8,Questions!$B$2:$B$3000,"live",Questions!$D$2:$D$3000,2)</f>
        <v>12</v>
      </c>
      <c r="H8" s="13" t="n">
        <f aca="false">COUNTIFS(Questions!$C$2:$C$3000,$I8,Questions!$B$2:$B$3000,"live",Questions!$D$2:$D$3000,3)</f>
        <v>11</v>
      </c>
      <c r="I8" s="14" t="s">
        <v>179</v>
      </c>
    </row>
    <row r="9" customFormat="false" ht="15" hidden="false" customHeight="false" outlineLevel="0" collapsed="false">
      <c r="B9" s="13" t="s">
        <v>3433</v>
      </c>
      <c r="C9" s="13" t="n">
        <f aca="false">COUNTIFS(Questions!$C$2:$C$3000,$I9,Questions!$B$2:$B$3000,"live")</f>
        <v>22</v>
      </c>
      <c r="D9" s="13" t="n">
        <f aca="false">COUNTIFS(Questions!$C$2:$C$3000,$I9,Questions!$B$2:$B$3000,"draft")</f>
        <v>0</v>
      </c>
      <c r="E9" s="13" t="n">
        <f aca="false">COUNTIFS(Questions!$C$2:$C$3000,$I9,Questions!$B$2:$B$3000,"retired")</f>
        <v>0</v>
      </c>
      <c r="F9" s="13" t="n">
        <f aca="false">COUNTIFS(Questions!$C$2:$C$3000,$I9,Questions!$B$2:$B$3000,"live",Questions!$D$2:$D$3000,1)</f>
        <v>7</v>
      </c>
      <c r="G9" s="13" t="n">
        <f aca="false">COUNTIFS(Questions!$C$2:$C$3000,$I9,Questions!$B$2:$B$3000,"live",Questions!$D$2:$D$3000,2)</f>
        <v>13</v>
      </c>
      <c r="H9" s="13" t="n">
        <f aca="false">COUNTIFS(Questions!$C$2:$C$3000,$I9,Questions!$B$2:$B$3000,"live",Questions!$D$2:$D$3000,3)</f>
        <v>2</v>
      </c>
      <c r="I9" s="14" t="s">
        <v>202</v>
      </c>
    </row>
    <row r="10" customFormat="false" ht="15" hidden="false" customHeight="false" outlineLevel="0" collapsed="false">
      <c r="B10" s="13" t="s">
        <v>3434</v>
      </c>
      <c r="C10" s="13" t="n">
        <f aca="false">COUNTIFS(Questions!$C$2:$C$3000,$I10,Questions!$B$2:$B$3000,"live")</f>
        <v>17</v>
      </c>
      <c r="D10" s="13" t="n">
        <f aca="false">COUNTIFS(Questions!$C$2:$C$3000,$I10,Questions!$B$2:$B$3000,"draft")</f>
        <v>0</v>
      </c>
      <c r="E10" s="13" t="n">
        <f aca="false">COUNTIFS(Questions!$C$2:$C$3000,$I10,Questions!$B$2:$B$3000,"retired")</f>
        <v>0</v>
      </c>
      <c r="F10" s="13" t="n">
        <f aca="false">COUNTIFS(Questions!$C$2:$C$3000,$I10,Questions!$B$2:$B$3000,"live",Questions!$D$2:$D$3000,1)</f>
        <v>6</v>
      </c>
      <c r="G10" s="13" t="n">
        <f aca="false">COUNTIFS(Questions!$C$2:$C$3000,$I10,Questions!$B$2:$B$3000,"live",Questions!$D$2:$D$3000,2)</f>
        <v>9</v>
      </c>
      <c r="H10" s="13" t="n">
        <f aca="false">COUNTIFS(Questions!$C$2:$C$3000,$I10,Questions!$B$2:$B$3000,"live",Questions!$D$2:$D$3000,3)</f>
        <v>2</v>
      </c>
      <c r="I10" s="14" t="s">
        <v>1228</v>
      </c>
    </row>
    <row r="11" customFormat="false" ht="15" hidden="false" customHeight="false" outlineLevel="0" collapsed="false">
      <c r="B11" s="13" t="s">
        <v>3435</v>
      </c>
      <c r="C11" s="13" t="n">
        <f aca="false">COUNTIFS(Questions!$C$2:$C$3000,$I11,Questions!$B$2:$B$3000,"live")</f>
        <v>9</v>
      </c>
      <c r="D11" s="13" t="n">
        <f aca="false">COUNTIFS(Questions!$C$2:$C$3000,$I11,Questions!$B$2:$B$3000,"draft")</f>
        <v>0</v>
      </c>
      <c r="E11" s="13" t="n">
        <f aca="false">COUNTIFS(Questions!$C$2:$C$3000,$I11,Questions!$B$2:$B$3000,"retired")</f>
        <v>0</v>
      </c>
      <c r="F11" s="13" t="n">
        <f aca="false">COUNTIFS(Questions!$C$2:$C$3000,$I11,Questions!$B$2:$B$3000,"live",Questions!$D$2:$D$3000,1)</f>
        <v>2</v>
      </c>
      <c r="G11" s="13" t="n">
        <f aca="false">COUNTIFS(Questions!$C$2:$C$3000,$I11,Questions!$B$2:$B$3000,"live",Questions!$D$2:$D$3000,2)</f>
        <v>4</v>
      </c>
      <c r="H11" s="13" t="n">
        <f aca="false">COUNTIFS(Questions!$C$2:$C$3000,$I11,Questions!$B$2:$B$3000,"live",Questions!$D$2:$D$3000,3)</f>
        <v>3</v>
      </c>
      <c r="I11" s="14" t="s">
        <v>1304</v>
      </c>
    </row>
    <row r="12" customFormat="false" ht="15" hidden="false" customHeight="false" outlineLevel="0" collapsed="false">
      <c r="B12" s="13" t="s">
        <v>490</v>
      </c>
      <c r="C12" s="13" t="n">
        <f aca="false">COUNTIFS(Questions!$C$2:$C$3000,$I12,Questions!$B$2:$B$3000,"live")</f>
        <v>25</v>
      </c>
      <c r="D12" s="13" t="n">
        <f aca="false">COUNTIFS(Questions!$C$2:$C$3000,$I12,Questions!$B$2:$B$3000,"draft")</f>
        <v>0</v>
      </c>
      <c r="E12" s="13" t="n">
        <f aca="false">COUNTIFS(Questions!$C$2:$C$3000,$I12,Questions!$B$2:$B$3000,"retired")</f>
        <v>0</v>
      </c>
      <c r="F12" s="13" t="n">
        <f aca="false">COUNTIFS(Questions!$C$2:$C$3000,$I12,Questions!$B$2:$B$3000,"live",Questions!$D$2:$D$3000,1)</f>
        <v>6</v>
      </c>
      <c r="G12" s="13" t="n">
        <f aca="false">COUNTIFS(Questions!$C$2:$C$3000,$I12,Questions!$B$2:$B$3000,"live",Questions!$D$2:$D$3000,2)</f>
        <v>9</v>
      </c>
      <c r="H12" s="13" t="n">
        <f aca="false">COUNTIFS(Questions!$C$2:$C$3000,$I12,Questions!$B$2:$B$3000,"live",Questions!$D$2:$D$3000,3)</f>
        <v>10</v>
      </c>
      <c r="I12" s="14" t="s">
        <v>442</v>
      </c>
    </row>
    <row r="13" customFormat="false" ht="15" hidden="false" customHeight="false" outlineLevel="0" collapsed="false">
      <c r="B13" s="13" t="s">
        <v>721</v>
      </c>
      <c r="C13" s="13" t="n">
        <f aca="false">COUNTIFS(Questions!$C$2:$C$3000,$I13,Questions!$B$2:$B$3000,"live")</f>
        <v>4</v>
      </c>
      <c r="D13" s="13" t="n">
        <f aca="false">COUNTIFS(Questions!$C$2:$C$3000,$I13,Questions!$B$2:$B$3000,"draft")</f>
        <v>0</v>
      </c>
      <c r="E13" s="13" t="n">
        <f aca="false">COUNTIFS(Questions!$C$2:$C$3000,$I13,Questions!$B$2:$B$3000,"retired")</f>
        <v>0</v>
      </c>
      <c r="F13" s="13" t="n">
        <f aca="false">COUNTIFS(Questions!$C$2:$C$3000,$I13,Questions!$B$2:$B$3000,"live",Questions!$D$2:$D$3000,1)</f>
        <v>1</v>
      </c>
      <c r="G13" s="13" t="n">
        <f aca="false">COUNTIFS(Questions!$C$2:$C$3000,$I13,Questions!$B$2:$B$3000,"live",Questions!$D$2:$D$3000,2)</f>
        <v>2</v>
      </c>
      <c r="H13" s="13" t="n">
        <f aca="false">COUNTIFS(Questions!$C$2:$C$3000,$I13,Questions!$B$2:$B$3000,"live",Questions!$D$2:$D$3000,3)</f>
        <v>1</v>
      </c>
      <c r="I13" s="14" t="s">
        <v>665</v>
      </c>
    </row>
    <row r="14" customFormat="false" ht="15" hidden="false" customHeight="false" outlineLevel="0" collapsed="false">
      <c r="B14" s="10" t="s">
        <v>3436</v>
      </c>
      <c r="C14" s="15" t="n">
        <f aca="false">SUM(C6:C13)</f>
        <v>175</v>
      </c>
      <c r="D14" s="15" t="n">
        <f aca="false">SUM(D6:D13)</f>
        <v>0</v>
      </c>
      <c r="E14" s="15" t="n">
        <f aca="false">SUM(E6:E13)</f>
        <v>0</v>
      </c>
      <c r="F14" s="15" t="n">
        <f aca="false">SUM(F6:F13)</f>
        <v>44</v>
      </c>
      <c r="G14" s="15" t="n">
        <f aca="false">SUM(G6:G13)</f>
        <v>84</v>
      </c>
      <c r="H14" s="15" t="n">
        <f aca="false">SUM(H6:H13)</f>
        <v>47</v>
      </c>
    </row>
    <row r="16" customFormat="false" ht="15" hidden="false" customHeight="false" outlineLevel="0" collapsed="false">
      <c r="B16" s="10" t="s">
        <v>3437</v>
      </c>
      <c r="C16" s="16" t="n">
        <f aca="false">COUNTIFS(Questions!$AG$2:$AG$3000,"&lt;&gt;OK",Questions!$A$2:$A$3000,"&lt;&gt;")</f>
        <v>0</v>
      </c>
    </row>
    <row r="17" customFormat="false" ht="15" hidden="false" customHeight="false" outlineLevel="0" collapsed="false">
      <c r="B17" s="5" t="s">
        <v>3438</v>
      </c>
      <c r="C17" s="17" t="n">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2026-10-25T11:34:40Z</dcterms:created>
  <dc:creator>openpyxl</dc:creator>
  <dc:description/>
  <dc:language>en-US</dc:language>
  <cp:lastModifiedBy/>
  <dcterms:modified xsi:type="dcterms:W3CDTF">2026-10-25T11:34:40Z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